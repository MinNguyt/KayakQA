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Embexinh/Downloads/"/>
    </mc:Choice>
  </mc:AlternateContent>
  <xr:revisionPtr revIDLastSave="0" documentId="13_ncr:1_{597D330F-3067-D24B-8067-2EAFEC2F60FA}" xr6:coauthVersionLast="47" xr6:coauthVersionMax="47" xr10:uidLastSave="{00000000-0000-0000-0000-000000000000}"/>
  <bookViews>
    <workbookView xWindow="0" yWindow="0" windowWidth="25600" windowHeight="16000" tabRatio="500" activeTab="1" xr2:uid="{00000000-000D-0000-FFFF-FFFF00000000}"/>
  </bookViews>
  <sheets>
    <sheet name="Báo cáo kiểm thử" sheetId="1" r:id="rId1"/>
    <sheet name="Tổng hợp" sheetId="2" r:id="rId2"/>
  </sheets>
  <definedNames>
    <definedName name="_xlnm._FilterDatabase" localSheetId="0" hidden="1">'Báo cáo kiểm thử'!$A$4:$N$43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6" i="2" l="1"/>
  <c r="E7" i="2"/>
  <c r="E8" i="2"/>
  <c r="E9" i="2"/>
  <c r="E10" i="2"/>
  <c r="E11" i="2"/>
  <c r="E4" i="2"/>
  <c r="E5" i="2"/>
  <c r="D10" i="2"/>
  <c r="C9" i="2"/>
  <c r="B9" i="2"/>
  <c r="C8" i="2"/>
  <c r="B8" i="2"/>
  <c r="C7" i="2"/>
  <c r="B7" i="2"/>
  <c r="C6" i="2"/>
  <c r="B6" i="2"/>
  <c r="C5" i="2"/>
  <c r="B5" i="2"/>
  <c r="C4" i="2"/>
  <c r="B4" i="2"/>
  <c r="B11" i="2" l="1"/>
  <c r="D5" i="2"/>
  <c r="C11" i="2"/>
  <c r="D9" i="2"/>
  <c r="D6" i="2"/>
  <c r="D7" i="2"/>
  <c r="D8" i="2"/>
  <c r="D4" i="2"/>
  <c r="D11" i="2" l="1"/>
</calcChain>
</file>

<file path=xl/sharedStrings.xml><?xml version="1.0" encoding="utf-8"?>
<sst xmlns="http://schemas.openxmlformats.org/spreadsheetml/2006/main" count="515" uniqueCount="307">
  <si>
    <t>BÁO CÁO KIỂM THỬ - HỆ THỐNG ĐẶT VÉ XE KHÁCH</t>
  </si>
  <si>
    <t>STT</t>
  </si>
  <si>
    <t>Mã Test Case</t>
  </si>
  <si>
    <t>Use Case</t>
  </si>
  <si>
    <t>Tên Test Case</t>
  </si>
  <si>
    <t>Điều kiện tiên quyết</t>
  </si>
  <si>
    <t>Dữ liệu đầu vào</t>
  </si>
  <si>
    <t>Bước thực hiện</t>
  </si>
  <si>
    <t>Kết quả mong đợi</t>
  </si>
  <si>
    <t>Kết quả thực tế</t>
  </si>
  <si>
    <t>Trạng thái</t>
  </si>
  <si>
    <t>Mức ưu tiên</t>
  </si>
  <si>
    <t>Người thực hiện</t>
  </si>
  <si>
    <t>Ngày thực hiện</t>
  </si>
  <si>
    <t>Ghi chú</t>
  </si>
  <si>
    <t>UC1 - Đăng nhập hệ thống</t>
  </si>
  <si>
    <t>Đăng nhập thành công với thông tin hợp lệ</t>
  </si>
  <si>
    <t>Tài khoản đã đăng ký, còn hiệu lực (chưa khóa, chưa hết hạn)</t>
  </si>
  <si>
    <t>Email: user@example.com / Mật khẩu: đúng</t>
  </si>
  <si>
    <t>1. Truy cập trang đăng nhập
2. Nhập email và mật khẩu hợp lệ
3. Nhấn "Đăng nhập"</t>
  </si>
  <si>
    <t>Đăng nhập thành công, chuyển đến giao diện tương ứng với vai trò, phiên làm việc được khởi tạo</t>
  </si>
  <si>
    <t>Đạt yêu cầu như kỳ vọng</t>
  </si>
  <si>
    <t>Pass</t>
  </si>
  <si>
    <t>Cao</t>
  </si>
  <si>
    <t>QA Team</t>
  </si>
  <si>
    <t>20/06/2026</t>
  </si>
  <si>
    <t>Đăng nhập sai mật khẩu</t>
  </si>
  <si>
    <t>Tài khoản đã đăng ký, còn hiệu lực</t>
  </si>
  <si>
    <t>Email: user@example.com / Mật khẩu: sai (vd "12345")</t>
  </si>
  <si>
    <t>1. Truy cập trang đăng nhập
2. Nhập email đúng, mật khẩu sai
3. Nhấn "Đăng nhập"</t>
  </si>
  <si>
    <t>Hệ thống hiển thị thông báo lỗi "Email hoặc mật khẩu không đúng", không chuyển hướng, không tạo phiên làm việc</t>
  </si>
  <si>
    <t>Đăng nhập với tài khoản bị khóa</t>
  </si>
  <si>
    <t>Tài khoản tồn tại nhưng đã bị khóa</t>
  </si>
  <si>
    <t>Email: lockeduser@example.com / Mật khẩu: đúng</t>
  </si>
  <si>
    <t>1. Truy cập trang đăng nhập
2. Nhập đúng email/mật khẩu của tài khoản bị khóa
3. Nhấn "Đăng nhập"</t>
  </si>
  <si>
    <t>Hệ thống từ chối truy cập, hiển thị thông báo "Tài khoản đã bị khóa", không cho vào hệ thống</t>
  </si>
  <si>
    <t>Bỏ trống các trường bắt buộc</t>
  </si>
  <si>
    <t>Không yêu cầu tài khoản cụ thể</t>
  </si>
  <si>
    <t>Email: để trống / Mật khẩu: để trống</t>
  </si>
  <si>
    <t>1. Truy cập trang đăng nhập
2. Không nhập gì vào 2 trường
3. Nhấn "Đăng nhập"</t>
  </si>
  <si>
    <t>Hệ thống hiển thị cảnh báo validation tại các trường bắt buộc, không gửi yêu cầu lên server</t>
  </si>
  <si>
    <t>Trung bình</t>
  </si>
  <si>
    <t>Nhập email sai định dạng</t>
  </si>
  <si>
    <t>Email: "userexample.com" (thiếu @ hoặc domain) / Mật khẩu: bất kỳ</t>
  </si>
  <si>
    <t>1. Truy cập trang đăng nhập
2. Nhập email sai định dạng
3. Nhấn "Đăng nhập"</t>
  </si>
  <si>
    <t>Hệ thống hiển thị lỗi định dạng email ngay tại trường nhập, không gửi yêu cầu</t>
  </si>
  <si>
    <t>UC2 - Quản lý nhà xe</t>
  </si>
  <si>
    <t>Thêm mới nhà xe thành công</t>
  </si>
  <si>
    <t>Admin đã đăng nhập, có phiên làm việc hợp lệ</t>
  </si>
  <si>
    <t>1. Truy cập menu "Quản lý nhà xe"
2. Chọn "Thêm mới"
3. Nhập đầy đủ thông tin hợp lệ
4. Nhấn "Xác nhận"</t>
  </si>
  <si>
    <t>Hệ thống lưu thông tin nhà xe vào database, hiển thị thông báo thành công, danh sách được cập nhật và đồng bộ lên giao diện khách hàng</t>
  </si>
  <si>
    <t>Thêm mới nhà xe với tên/giấy phép kinh doanh đã tồn tại</t>
  </si>
  <si>
    <t>1. Truy cập menu "Quản lý nhà xe"
2. Chọn "Thêm mới"
3. Nhập tên nhà xe đã tồn tại
4. Nhấn "Xác nhận"</t>
  </si>
  <si>
    <t>Hệ thống từ chối lưu, hiển thị thông báo lỗi trùng lặp dữ liệu</t>
  </si>
  <si>
    <t>Để trống các trường bắt buộc khi thêm/sửa nhà xe</t>
  </si>
  <si>
    <t>Admin đã đăng nhập</t>
  </si>
  <si>
    <t>Tên nhà xe: để trống; Hotline: để trống</t>
  </si>
  <si>
    <t>1. Truy cập menu "Quản lý nhà xe"
2. Chọn "Thêm mới"
3. Bỏ trống Tên nhà xe và Hotline
4. Nhấn "Xác nhận"</t>
  </si>
  <si>
    <t>Hệ thống từ chối lưu, hiển thị cảnh báo lỗi màu đỏ tại các trường bắt buộc đang trống</t>
  </si>
  <si>
    <t>Xóa nhà xe đang có chuyến xe hoạt động hoặc vé chờ khởi hành</t>
  </si>
  <si>
    <t>Admin đã đăng nhập; tồn tại nhà xe đang có chuyến xe hoạt động hoặc vé khách đang chờ khởi hành</t>
  </si>
  <si>
    <t>Chọn nhà xe có ràng buộc dữ liệu liên quan (chuyến/vé)</t>
  </si>
  <si>
    <t>1. Truy cập menu "Quản lý nhà xe"
2. Chọn nhà xe đang vận hành
3. Nhấn "Xóa"
4. Xác nhận thao tác</t>
  </si>
  <si>
    <t>Hệ thống chặn thao tác xóa, hiển thị thông báo yêu cầu điều chuyển lịch trình trước khi xử lý</t>
  </si>
  <si>
    <t>Tìm kiếm nhà xe theo từ khóa</t>
  </si>
  <si>
    <t>Admin đã đăng nhập; hệ thống có sẵn danh sách nhà xe</t>
  </si>
  <si>
    <t>1. Truy cập menu "Quản lý nhà xe"
2. Nhập từ khóa vào thanh tìm kiếm</t>
  </si>
  <si>
    <t>Hệ thống lọc và trả về kết quả phù hợp theo thời gian thực (real-time)</t>
  </si>
  <si>
    <t>UC4 - Quản lý tuyến đường</t>
  </si>
  <si>
    <t>Thêm mới tuyến đường thành công</t>
  </si>
  <si>
    <t>Admin đã đăng nhập thành công</t>
  </si>
  <si>
    <t>Điểm đi: "Hà Nội"; Điểm đến: "Đà Nẵng"; Khoảng cách: 780km; các trường khác hợp lệ, chưa trùng</t>
  </si>
  <si>
    <t>1. Chọn "Quản lý tuyến đường"
2. Chọn "Thêm mới"
3. Nhập đầy đủ thông tin tuyến đường
4. Nhấn "Lưu"</t>
  </si>
  <si>
    <t>Hệ thống lưu tuyến đường mới vào database, hiển thị thông báo thành công, danh sách được cập nhật</t>
  </si>
  <si>
    <t>Thêm tuyến đường trùng điểm đi - điểm đến với tuyến đã tồn tại</t>
  </si>
  <si>
    <t>Admin đã đăng nhập; hệ thống đã có tuyến "Hà Nội - Đà Nẵng"</t>
  </si>
  <si>
    <t>Điểm đi: "Hà Nội"; Điểm đến: "Đà Nẵng" (trùng hoàn toàn)</t>
  </si>
  <si>
    <t>1. Chọn "Quản lý tuyến đường"
2. Chọn "Thêm mới"
3. Nhập điểm đi/điểm đến trùng tuyến hiện có
4. Nhấn "Lưu"</t>
  </si>
  <si>
    <t>Hệ thống báo lỗi "Tuyến đường này đã tồn tại", không lưu dữ liệu</t>
  </si>
  <si>
    <t>Xóa tuyến đường đang có lịch trình hoạt động hoặc vé đã bán</t>
  </si>
  <si>
    <t>Admin đã đăng nhập; tuyến đường đang có lịch trình xuất bến hoạt động hoặc vé đã bán chưa hoàn tất</t>
  </si>
  <si>
    <t>Chọn tuyến đường có ràng buộc dữ liệu liên quan</t>
  </si>
  <si>
    <t>1. Chọn "Quản lý tuyến đường"
2. Chọn tuyến đường đang hoạt động
3. Nhấn "Xóa"
4. Xác nhận</t>
  </si>
  <si>
    <t>Hệ thống thông báo lỗi "Không thể xóa tuyến đường đang có lịch trình hoạt động hoặc đơn đặt vé chưa hoàn tất", không xóa</t>
  </si>
  <si>
    <t>Thay đổi trạng thái tuyến đường sang "Tạm dừng đón khách"</t>
  </si>
  <si>
    <t>Admin đã đăng nhập; tuyến đường đang ở trạng thái "Đang hoạt động"</t>
  </si>
  <si>
    <t>Tuyến đường: "Hà Nội - Đà Nẵng"; Trạng thái mới: "Tạm dừng đón khách"</t>
  </si>
  <si>
    <t>1. Chọn "Quản lý tuyến đường"
2. Chọn tuyến đường cần đổi trạng thái
3. Chuyển trạng thái sang "Tạm dừng đón khách"
4. Lưu thay đổi</t>
  </si>
  <si>
    <t>Trạng thái tuyến được cập nhật, tuyến đường bị ẩn khỏi giao diện khách hàng, dữ liệu tuyến vẫn được giữ nguyên</t>
  </si>
  <si>
    <t>Sửa thông tin tuyến đường với dữ liệu để trống trường bắt buộc</t>
  </si>
  <si>
    <t>Admin đã đăng nhập; tuyến đường đã tồn tại trên hệ thống</t>
  </si>
  <si>
    <t>Điểm đi: để trống; các trường khác giữ nguyên</t>
  </si>
  <si>
    <t>1. Chọn "Quản lý tuyến đường"
2. Chọn tuyến đường cần sửa
3. Xóa trống trường "Điểm đi"
4. Nhấn "Lưu"</t>
  </si>
  <si>
    <t>Hệ thống từ chối lưu, hiển thị cảnh báo lỗi validation tại trường "Điểm đi"</t>
  </si>
  <si>
    <t>UC8 - Quản lý vé</t>
  </si>
  <si>
    <t>Tìm kiếm vé theo mã vé thành công</t>
  </si>
  <si>
    <t>Admin đã đăng nhập; tồn tại đơn vé với mã đã biết trên hệ thống</t>
  </si>
  <si>
    <t>Mã vé: "VE001234"</t>
  </si>
  <si>
    <t>1. Chọn "Quản lý vé"
2. Nhập mã vé vào thanh tìm kiếm
3. Nhấn tìm kiếm</t>
  </si>
  <si>
    <t>Hệ thống trả về đúng thông tin đơn vé tương ứng với mã đã nhập</t>
  </si>
  <si>
    <t>Tìm kiếm với mã vé không tồn tại</t>
  </si>
  <si>
    <t>Mã vé: "VE999999" (không tồn tại trên hệ thống)</t>
  </si>
  <si>
    <t>1. Chọn "Quản lý vé"
2. Nhập mã vé không tồn tại
3. Nhấn tìm kiếm</t>
  </si>
  <si>
    <t>Hệ thống trả về danh sách trống, hiển thị thông báo "Mã vé không tồn tại trên hệ thống"</t>
  </si>
  <si>
    <t>Cập nhật trạng thái vé (xác nhận hoàn tiền hủy vé)</t>
  </si>
  <si>
    <t>Admin đã đăng nhập; tồn tại vé ở trạng thái "Đã thanh toán" chưa khởi hành</t>
  </si>
  <si>
    <t>Mã vé hợp lệ; trạng thái mới: "Đã hủy/Đã hoàn tiền"</t>
  </si>
  <si>
    <t>1. Chọn "Quản lý vé"
2. Tìm và chọn vé cần xử lý
3. Cập nhật trạng thái thành "Đã hoàn tiền"
4. Xác nhận</t>
  </si>
  <si>
    <t>Hệ thống ghi nhận trạng thái mới, gửi email thông báo cập nhật cho khách hàng</t>
  </si>
  <si>
    <t>Đổi chuyến/điều chuyển vé cho khách</t>
  </si>
  <si>
    <t>Admin đã đăng nhập; vé hiện tại hợp lệ, chuyến mới còn ghế trống</t>
  </si>
  <si>
    <t>Mã vé cũ; chuyến xe mới còn ghế trống</t>
  </si>
  <si>
    <t>1. Chọn "Quản lý vé"
2. Chọn vé cũ cần đổi
3. Nhấn "Đổi lịch trình"
4. Chọn chuyến xe mới còn ghế trống
5. Xác nhận</t>
  </si>
  <si>
    <t>Hệ thống cập nhật lại thông tin mã vé sang chuyến mới, không làm thay đổi lịch sử dòng tiền thanh toán</t>
  </si>
  <si>
    <t>Chặn sửa vé thuộc chuyến đã hoàn tất hành trình</t>
  </si>
  <si>
    <t>Admin đã đăng nhập; vé thuộc về chuyến xe đã khởi hành và kết thúc trong quá khứ</t>
  </si>
  <si>
    <t>Mã vé thuộc chuyến đã hoàn tất hành trình</t>
  </si>
  <si>
    <t>1. Chọn "Quản lý vé"
2. Tìm vé thuộc chuyến đã kết thúc
3. Thử chỉnh sửa thông tin/trạng thái vé</t>
  </si>
  <si>
    <t>Hệ thống chặn quyền chỉnh sửa, hiển thị thông báo "Vé đã hoàn tất hành trình, không cho phép chỉnh sửa dữ liệu"</t>
  </si>
  <si>
    <t>UC13_TC01</t>
  </si>
  <si>
    <t>UC13 - Đặt vé</t>
  </si>
  <si>
    <t>Đặt vé và thanh toán thành công</t>
  </si>
  <si>
    <t>Người dùng đã đăng nhập tài khoản thành viên hợp lệ</t>
  </si>
  <si>
    <t>Điểm đi: "TP.HCM"; Điểm đến: "Đà Lạt"; Ngày đi hợp lệ; ghế trống bất kỳ; phương thức thanh toán hợp lệ</t>
  </si>
  <si>
    <t>1. Nhập điểm đi, điểm đến, ngày đi
2. Chọn chuyến xe phù hợp
3. Chọn ghế trống trên sơ đồ
4. Xác nhận thông tin, chọn thanh toán online
5. Thực hiện thanh toán thành công</t>
  </si>
  <si>
    <t>Hệ thống xác nhận giao dịch, đổi trạng thái ghế thành "Đã bán", tạo mã vé điện tử (QR), gửi vé về email khách hàng</t>
  </si>
  <si>
    <t>UC13_TC02</t>
  </si>
  <si>
    <t>Cơ chế giữ chỗ tạm thời (Seat Blocking) khi chưa thanh toán</t>
  </si>
  <si>
    <t>Người dùng đã đăng nhập; đã chọn ghế và tiến hành thanh toán nhưng chưa hoàn tất</t>
  </si>
  <si>
    <t>Ghế đã chọn; thời gian chờ &gt; 10 phút không thanh toán</t>
  </si>
  <si>
    <t>1. Chọn ghế và bấm tiến hành thanh toán
2. Không thực hiện thanh toán, chờ quá 10 phút</t>
  </si>
  <si>
    <t>Hệ thống tự động nhả ghế về trạng thái trống sau 10 phút, ghế được mở lại cho người khác chọn</t>
  </si>
  <si>
    <t>UC13_TC03</t>
  </si>
  <si>
    <t>Ghế đã bị người khác đặt trước khi xác nhận thanh toán</t>
  </si>
  <si>
    <t>Người dùng đã đăng nhập; cùng lúc có phiên làm việc khác đã khóa/mua ghế đó trước</t>
  </si>
  <si>
    <t>Ghế: vị trí đã bị một phiên khác giữ/mua trong tích tắc trước khi xác nhận</t>
  </si>
  <si>
    <t>1. Chọn ghế trên sơ đồ
2. Tiến hành xác nhận đặt vé
3. Hệ thống kiểm tra lại trạng thái ghế</t>
  </si>
  <si>
    <t>Hệ thống báo lỗi "Vị trí ghế đã có người đặt, vui lòng chọn lại ghế khác", không cho tiếp tục với ghế đó</t>
  </si>
  <si>
    <t>UC13_TC04</t>
  </si>
  <si>
    <t>Thanh toán thất bại hoặc người dùng hủy giao dịch</t>
  </si>
  <si>
    <t>Người dùng đã đăng nhập; đã chọn ghế và chuyển sang cổng thanh toán</t>
  </si>
  <si>
    <t>Thông tin thanh toán không hợp lệ hoặc người dùng bấm "Quay lại" hủy giao dịch</t>
  </si>
  <si>
    <t>1. Tiến hành thanh toán tại cổng mô phỏng
2. Giao dịch trả về lỗi, hoặc người dùng bấm "Quay lại"</t>
  </si>
  <si>
    <t>Hệ thống giải phóng ghế đang giữ tạm thời, đơn vé chuyển trạng thái "Thanh toán thất bại/Hủy giao dịch"</t>
  </si>
  <si>
    <t>UC13_TC05</t>
  </si>
  <si>
    <t>Tìm kiếm chuyến xe không có kết quả phù hợp</t>
  </si>
  <si>
    <t>Người dùng đã đăng nhập</t>
  </si>
  <si>
    <t>Điểm đi: "Hà Nội"; Điểm đến: "Cà Mau"; Ngày đi không có chuyến xe nào hoạt động trên tuyến này</t>
  </si>
  <si>
    <t>1. Nhập điểm đi, điểm đến, ngày đi
2. Nhấn tìm kiếm chuyến xe</t>
  </si>
  <si>
    <t>Hệ thống hiển thị thông báo không tìm thấy chuyến xe phù hợp, không hiển thị danh sách chuyến</t>
  </si>
  <si>
    <t>UC16_TC01</t>
  </si>
  <si>
    <t>UC16 - Quản lý thông tin cá nhân</t>
  </si>
  <si>
    <t>Cập nhật thông tin cá nhân thành công</t>
  </si>
  <si>
    <t>Người dùng đã đăng nhập thành công, đang ở giao diện tài khoản</t>
  </si>
  <si>
    <t>Tên: "Nguyễn Văn A"; Email: "vana@example.com"; SĐT: "0901234567" (chưa tồn tại)</t>
  </si>
  <si>
    <t>1. Chọn trang thông tin cá nhân
2. Bấm "Chỉnh sửa thông tin"
3. Thay đổi Tên, Email, SĐT hợp lệ
4. Nhấn "Lưu thay đổi"</t>
  </si>
  <si>
    <t>Hệ thống kiểm tra hợp lệ, cập nhật thông tin mới vào database, hiển thị thông báo "Cập nhật thông tin thành công"</t>
  </si>
  <si>
    <t>UC16_TC02</t>
  </si>
  <si>
    <t>Hủy chỉnh sửa thông tin cá nhân</t>
  </si>
  <si>
    <t>Người dùng đã đăng nhập, đang ở giao diện tài khoản</t>
  </si>
  <si>
    <t>Tên/Email/SĐT: đã chỉnh sửa một số trường nhưng chưa lưu</t>
  </si>
  <si>
    <t>1. Chọn trang thông tin cá nhân
2. Bấm "Chỉnh sửa thông tin"
3. Thay đổi một vài thông tin
4. Nhấn "Hủy"</t>
  </si>
  <si>
    <t>Hệ thống quay lại màn hình thông tin cũ, không lưu bất kỳ thay đổi nào</t>
  </si>
  <si>
    <t>UC16_TC03</t>
  </si>
  <si>
    <t>Cập nhật Email sai định dạng</t>
  </si>
  <si>
    <t>Người dùng đã đăng nhập, đang ở giao diện chỉnh sửa thông tin cá nhân</t>
  </si>
  <si>
    <t>Email: "vanaexample.com" (thiếu ký tự @)</t>
  </si>
  <si>
    <t>1. Bấm "Chỉnh sửa thông tin"
2. Nhập Email sai định dạng
3. Nhấn "Lưu thay đổi"</t>
  </si>
  <si>
    <t>Hệ thống dừng luồng, không lưu, hiển thị thông báo lỗi định dạng email tại trường nhập (tiếng Việt)</t>
  </si>
  <si>
    <t>UC16_TC04</t>
  </si>
  <si>
    <t>Cập nhật Số điện thoại không đúng 10 số</t>
  </si>
  <si>
    <t>Số điện thoại: "09012" (5 số) hoặc "090123456789" (quá 10 số)</t>
  </si>
  <si>
    <t>1. Bấm "Chỉnh sửa thông tin"
2. Nhập SĐT không đúng 10 số
3. Nhấn "Lưu thay đổi"</t>
  </si>
  <si>
    <t>Hệ thống dừng luồng, không lưu, hiển thị thông báo lỗi "Số điện thoại không hợp lệ" tại trường nhập</t>
  </si>
  <si>
    <t>UC16_TC05</t>
  </si>
  <si>
    <t>Cập nhật Email/SĐT đã được sử dụng bởi tài khoản khác</t>
  </si>
  <si>
    <t>Người dùng đã đăng nhập; trên hệ thống đã tồn tại tài khoản khác dùng Email/SĐT này</t>
  </si>
  <si>
    <t>Email: "existeduser@example.com" (đã được tài khoản khác sử dụng)</t>
  </si>
  <si>
    <t>1. Bấm "Chỉnh sửa thông tin"
2. Nhập Email đã tồn tại trên hệ thống (thuộc tài khoản khác)
3. Nhấn "Lưu thay đổi"</t>
  </si>
  <si>
    <t>Hệ thống từ chối lưu, hiển thị thông báo lỗi "Email/Số điện thoại này đã được sử dụng"</t>
  </si>
  <si>
    <t>UC20_TC01</t>
  </si>
  <si>
    <t>UC20 - Xử lý thanh toán</t>
  </si>
  <si>
    <t>Thanh toán thành công qua cổng thanh toán đối tác</t>
  </si>
  <si>
    <t>Đơn đặt vé đã khởi tạo thành công; khách hàng đã chọn phương thức thanh toán (thẻ/ví điện tử)</t>
  </si>
  <si>
    <t>Thông tin thẻ/ví điện tử hợp lệ, đủ số dư</t>
  </si>
  <si>
    <t>1. Khách hàng xác nhận thanh toán
2. Hệ thống chuyển hướng đến cổng thanh toán đối tác
3. Người dùng nhập thông tin và xác thực thanh toán
4. Hệ thống nhận phản hồi từ cổng thanh toán</t>
  </si>
  <si>
    <t>Hệ thống cập nhật trạng thái đơn hàng thành "Đã thanh toán", hiển thị màn hình chúc mừng đặt vé thành công, ghế được xác nhận khóa thành công</t>
  </si>
  <si>
    <t>UC20_TC02</t>
  </si>
  <si>
    <t>Khách hàng hủy giao dịch giữa chừng tại cổng thanh toán</t>
  </si>
  <si>
    <t>Đơn đặt vé đã khởi tạo; khách hàng đã được chuyển hướng đến trang thanh toán của đối tác</t>
  </si>
  <si>
    <t>Không nhập/hoàn tất thông tin thanh toán</t>
  </si>
  <si>
    <t>1. Tại giao diện cổng thanh toán đối tác, khách hàng bấm "Hủy và quay lại trang web"</t>
  </si>
  <si>
    <t>Hệ thống nhận diện hành động hủy, hủy phiên giao dịch hiện tại, đưa khách hàng về trang chọn phương thức thanh toán cũ, đơn hàng không bị đánh dấu "Đã thanh toán"</t>
  </si>
  <si>
    <t>UC20_TC03</t>
  </si>
  <si>
    <t>Thanh toán thất bại do số dư tài khoản không đủ</t>
  </si>
  <si>
    <t>Đơn đặt vé đã khởi tạo; khách hàng đã chọn phương thức thanh toán bằng thẻ/ví có số dư không đủ</t>
  </si>
  <si>
    <t>Thông tin thẻ/ví hợp lệ nhưng số dư không đủ để thanh toán</t>
  </si>
  <si>
    <t>1. Khách hàng xác nhận thanh toán
2. Chuyển hướng đến cổng thanh toán
3. Nhập thông tin và xác thực
4. Cổng thanh toán phản hồi giao dịch thất bại</t>
  </si>
  <si>
    <t>Hệ thống chuyển trạng thái đơn thành "Thanh toán thất bại", hiển thị thông báo mời người dùng thử lại hoặc chọn phương thức khác</t>
  </si>
  <si>
    <t>UC20_TC04</t>
  </si>
  <si>
    <t>Mất kết nối/timeout khi đang chờ phản hồi từ cổng thanh toán</t>
  </si>
  <si>
    <t>Đơn đặt vé đã khởi tạo; khách hàng đã hoàn tất nhập thông tin tại cổng thanh toán đối tác</t>
  </si>
  <si>
    <t>Giao dịch đang xử lý nhưng kết nối giữa hệ thống và cổng thanh toán bị gián đoạn/quá thời gian chờ</t>
  </si>
  <si>
    <t>1. Khách hàng xác thực thanh toán tại cổng đối tác
2. Hệ thống không nhận được phản hồi kết quả trong thời gian quy định</t>
  </si>
  <si>
    <t>Hệ thống không xác nhận đơn hàng là "Đã thanh toán" khi chưa có phản hồi rõ ràng, đơn hàng giữ trạng thái chờ xử lý hoặc chuyển "Thanh toán thất bại", ghế không bị mất do lỗi hệ thống</t>
  </si>
  <si>
    <t>UC20_TC05</t>
  </si>
  <si>
    <t>Thử lại thanh toán sau khi giao dịch trước đó thất bại</t>
  </si>
  <si>
    <t>Đơn đặt vé tồn tại với trạng thái "Thanh toán thất bại" từ lần thử trước</t>
  </si>
  <si>
    <t>Phương thức thanh toán mới hoặc thông tin thẻ/ví hợp lệ, đủ số dư</t>
  </si>
  <si>
    <t>1. Khách hàng chọn "Thử lại" trên màn hình thông báo thất bại
2. Chọn lại phương thức thanh toán
3. Xác nhận thanh toán
4. Hoàn tất xác thực tại cổng thanh toán</t>
  </si>
  <si>
    <t>Hệ thống xử lý giao dịch mới thành công, cập nhật trạng thái đơn hàng thành "Đã thanh toán", hiển thị màn hình chúc mừng đặt vé thành công</t>
  </si>
  <si>
    <t>TỔNG HỢP KẾT QUẢ KIỂM THỬ</t>
  </si>
  <si>
    <t>Tổng số Test Case</t>
  </si>
  <si>
    <t>Fail</t>
  </si>
  <si>
    <t>TỔNG CỘNG</t>
  </si>
  <si>
    <t>Ngày lập báo cáo: 10/06/2026</t>
  </si>
  <si>
    <t>Tên nhà xe: "Mai Linh"; Hotline: "0909123456"; Email: "ptr@example.com"; các trường khác hợp lệ, chưa tồn tại</t>
  </si>
  <si>
    <t>Admin đã đăng nhập; hệ thống đã tồn tại nhà xe có tên "Mai Linh"</t>
  </si>
  <si>
    <t>Tên nhà xe: "Mai Linh" (trùng); Hotline/email khác</t>
  </si>
  <si>
    <t>Từ khóa tìm kiếm: "Mai Linh" hoặc số điện thoại "0909123456"</t>
  </si>
  <si>
    <t>UC01_TC01</t>
  </si>
  <si>
    <t>UC01_TC02</t>
  </si>
  <si>
    <t>UC01_TC03</t>
  </si>
  <si>
    <t>Nguyễn Minh Nguyệt</t>
  </si>
  <si>
    <t>UC01_TC04</t>
  </si>
  <si>
    <t>UC01_TC05</t>
  </si>
  <si>
    <t>UC02_TC01</t>
  </si>
  <si>
    <t>UC02_TC02</t>
  </si>
  <si>
    <t>UC02_TC03</t>
  </si>
  <si>
    <t>UC02_TC04</t>
  </si>
  <si>
    <t>UC02_TC05</t>
  </si>
  <si>
    <t>UC04_TC01</t>
  </si>
  <si>
    <t>UC04_TC02</t>
  </si>
  <si>
    <t>UC04_TC03</t>
  </si>
  <si>
    <t>UC04_TC04</t>
  </si>
  <si>
    <t>UC04_TC05</t>
  </si>
  <si>
    <t>UC08_TC01</t>
  </si>
  <si>
    <t>UC08_TC02</t>
  </si>
  <si>
    <t>UC08_TC03</t>
  </si>
  <si>
    <t>UC08_TC04</t>
  </si>
  <si>
    <t>UC08_TC05</t>
  </si>
  <si>
    <t>UC20_TC06</t>
  </si>
  <si>
    <t>Ghế bị bán trùng khi 2 đơn thanh toán thành công cùng lúc</t>
  </si>
  <si>
    <t>Đơn đặt vé đã khởi tạo; 2 khách hàng cùng giữ chung 1 ghế và cùng thanh toán gần như đồng thời</t>
  </si>
  <si>
    <t>2 phiên thanh toán song song cho cùng 1 mã ghế</t>
  </si>
  <si>
    <t>1. Khách A và khách B cùng xác nhận thanh toán cho cùng 1 ghế trong khoảng thời gian rất ngắn
2. Cả 2 cổng thanh toán đều phản hồi thành công</t>
  </si>
  <si>
    <t>Hệ thống chỉ xác nhận 1 đơn hàng "Đã thanh toán", đơn còn lại phải bị từ chối/hoàn tiền tự động, ghế không bị bán trùng</t>
  </si>
  <si>
    <t>Cả 2 đơn hàng đều được cập nhật trạng thái "Đã thanh toán" cho cùng 1 ghế, hệ thống không phát hiện xung đột (race condition), dẫn đến bán trùng ghế</t>
  </si>
  <si>
    <t>Lỗi cơ chế khóa ghế (locking) khi xử lý đồng thời nhiều giao dịch, cần bổ sung kiểm tra/khóa transaction ở tầng database</t>
  </si>
  <si>
    <t>UC20_TC07</t>
  </si>
  <si>
    <t>Đơn hàng vẫn ở trạng thái thanh toán thất bại dù tiền đã bị trừ từ tài khoản khách</t>
  </si>
  <si>
    <t>Đơn đặt vé đã khởi tạo; khách hàng thanh toán qua thẻ ngân hàng liên kết</t>
  </si>
  <si>
    <t>Thông tin thẻ hợp lệ, đủ số dư; cổng thanh toán phản hồi trễ/timeout</t>
  </si>
  <si>
    <t>1. Khách hàng xác thực thanh toán thành công tại cổng đối tác
2. Tiền đã bị trừ ở phía ngân hàng
3. Hệ thống không nhận được webhook callback đúng hạn</t>
  </si>
  <si>
    <t>Hệ thống đối soát và tự động cập nhật đơn hàng thành "Đã thanh toán" hoặc có cơ chế retry callback để đồng bộ trạng thái</t>
  </si>
  <si>
    <t>Đơn hàng vẫn giữ trạng thái "Thanh toán thất bại" dù tiền đã bị trừ, ghế bị nhả lại cho người khác, khách hàng mất tiền nhưng không có vé</t>
  </si>
  <si>
    <t>Thiếu cơ chế đối soát (reconciliation) giữa hệ thống và cổng thanh toán khi callback bị mất/trễ - rủi ro nghiêm trọng về tài chính</t>
  </si>
  <si>
    <t>UC20_TC08</t>
  </si>
  <si>
    <t>Khách hàng F5 (refresh)/bấm Back trình duyệt ngay sau khi thanh toán thành công</t>
  </si>
  <si>
    <t>Đơn đặt vé đã khởi tạo; khách hàng vừa thanh toán xong và đang ở màn hình chúc mừng</t>
  </si>
  <si>
    <t>Hành động: bấm nút Back hoặc F5 ngay sau bước 5 của luồng chính</t>
  </si>
  <si>
    <t>1. Thanh toán thành công, hệ thống hiển thị màn hình chúc mừng
2. Khách hàng bấm nút Back hoặc F5 trình duyệt</t>
  </si>
  <si>
    <t>Hệ thống không tạo thêm giao dịch/đơn hàng mới, không trừ tiền hoặc đặt thêm vé trùng lặp</t>
  </si>
  <si>
    <t>Hệ thống gửi lại yêu cầu thanh toán cũ, tạo ra đơn hàng trùng lặp cho cùng một chuyến đặt vé (double submit)</t>
  </si>
  <si>
    <t>Thiếu cơ chế chống resubmit/double-click (idempotency key) cho request thanh toán</t>
  </si>
  <si>
    <t>UC20_TC09</t>
  </si>
  <si>
    <t>Giao dịch thanh toán vượt hạn mức nhưng hệ thống vẫn xác nhận thành công</t>
  </si>
  <si>
    <t>Đơn đặt vé đã khởi tạo; khách hàng thanh toán bằng thẻ có hạn mức giao dịch thấp hơn giá trị đơn hàng</t>
  </si>
  <si>
    <t>Giá trị đơn hàng: 5.000.000đ; Hạn mức giao dịch của thẻ: 3.000.000đ</t>
  </si>
  <si>
    <t>1. Khách hàng xác nhận thanh toán
2. Chuyển hướng đến cổng thanh toán
3. Nhập thông tin thẻ vượt hạn mức
4. Cổng thanh toán xử lý giao dịch</t>
  </si>
  <si>
    <t>Cổng thanh toán từ chối giao dịch do vượt hạn mức, hệ thống cập nhật đơn hàng thành "Thanh toán thất bại" và thông báo lý do cụ thể cho khách hàng</t>
  </si>
  <si>
    <t>Hệ thống hiển thị thông báo lỗi chung chung "Giao dịch thất bại" không nêu rõ nguyên nhân vượt hạn mức, khiến khách hàng không biết cách xử lý tiếp theo</t>
  </si>
  <si>
    <t>Thông báo lỗi chưa đủ chi tiết để khách hàng tự khắc phục, cần hiển thị mã lỗi/nguyên nhân cụ thể từ cổng thanh toán</t>
  </si>
  <si>
    <t>Lò Bảo Duy</t>
  </si>
  <si>
    <t>Sửa thông tin nhà xe nhưng dữ liệu không đồng bộ ngay lên giao diện khách hàng</t>
  </si>
  <si>
    <t>Admin đã đăng nhập; nhà xe đang hiển thị thông tin cũ trên giao diện khách hàng</t>
  </si>
  <si>
    <t>Hotline mới: "0911222333" (thay cho hotline cũ)</t>
  </si>
  <si>
    <t>1. Truy cập "Quản lý nhà xe"
2. Chọn nhà xe cần sửa
3. Cập nhật Hotline mới
4. Nhấn "Xác nhận"
5. Mở giao diện khách hàng kiểm tra ngay lập tức</t>
  </si>
  <si>
    <t>Thông tin Hotline mới được đồng bộ và hiển thị ngay lập tức trên giao diện khách hàng</t>
  </si>
  <si>
    <t>Giao diện khách hàng vẫn hiển thị hotline cũ trong vài phút do cơ chế cache chưa được làm mới (invalidate) sau khi cập nhật</t>
  </si>
  <si>
    <t>Thiếu cơ chế invalidate cache khi dữ liệu nhà xe được Admin chỉnh sửa</t>
  </si>
  <si>
    <t>Khóa nhà xe nhưng các chuyến xe của nhà xe đó vẫn hiển thị cho khách đặt vé</t>
  </si>
  <si>
    <t>Admin đã đăng nhập; nhà xe đang ở trạng thái "Đang hoạt động" và có các chuyến xe chưa khởi hành</t>
  </si>
  <si>
    <t>Nhà xe cần khóa: có các chuyến xe trong tương lai chưa khởi hành, chưa có vé bán</t>
  </si>
  <si>
    <t>1. Truy cập "Quản lý nhà xe"
2. Chọn nhà xe
3. Nhấn "Khóa nhà xe"
4. Xác nhận thao tác
5. Vào giao diện khách hàng tìm kiếm chuyến xe của nhà xe vừa khóa</t>
  </si>
  <si>
    <t>Sau khi khóa, toàn bộ chuyến xe của nhà xe đó phải bị ẩn khỏi kết quả tìm kiếm của khách hàng</t>
  </si>
  <si>
    <t>Chuyến xe của nhà xe đã bị khóa vẫn hiển thị và cho phép đặt vé trên giao diện khách hàng</t>
  </si>
  <si>
    <t>Thiếu liên kết kiểm tra trạng thái nhà xe khi truy vấn danh sách chuyến xe hiển thị cho khách</t>
  </si>
  <si>
    <t>Chuyển trạng thái tuyến sang "Tạm dừng" nhưng chuyến xe đã lên lịch không được xử lý đúng cách</t>
  </si>
  <si>
    <t>Admin đã đăng nhập; tuyến đường đang có các chuyến xe đã lên lịch trong tương lai</t>
  </si>
  <si>
    <t>Tuyến đường: "Hà Nội - Đà Nẵng"; có 3 chuyến xe đã lên lịch chưa khởi hành</t>
  </si>
  <si>
    <t>1. Truy cập "Quản lý tuyến đường"
2. Chọn tuyến đang có chuyến xe đã lên lịch
3. Chuyển trạng thái sang "Tạm dừng đón khách"
4. Kiểm tra các chuyến xe đã lên lịch trên giao diện khách hàng</t>
  </si>
  <si>
    <t>Hệ thống cảnh báo Admin về các chuyến xe bị ảnh hưởng trước khi xác nhận, các chuyến đã có vé bán vẫn phải truy cập được bình thường để hoàn tất hành trình</t>
  </si>
  <si>
    <t>Hệ thống không cảnh báo, đồng thời ẩn luôn cả những chuyến xe đã có khách mua vé, khiến khách hàng không thể xem lại thông tin vé/lịch trình của mình</t>
  </si>
  <si>
    <t>Thiếu logic phân tách giữa việc ẩn tuyến khỏi tìm kiếm mới và việc giữ quyền truy cập của vé đã bán</t>
  </si>
  <si>
    <t>UC04_TC06</t>
  </si>
  <si>
    <t>UC02_TC06</t>
  </si>
  <si>
    <t>UC02_TC07</t>
  </si>
  <si>
    <t>UC13_TC07</t>
  </si>
  <si>
    <t>Mã QR vé không được gửi về email sau khi thanh toán thành công</t>
  </si>
  <si>
    <t>Người dùng đã đăng nhập, đã thanh toán thành công cho vé vừa đặt</t>
  </si>
  <si>
    <t>Email tài khoản hợp lệ, đã xác thực; giao dịch thanh toán đã được hệ thống xác nhận</t>
  </si>
  <si>
    <t>1. Hoàn tất thanh toán thành công
2. Hệ thống hiển thị màn hình "Đặt vé thành công"
3. Kiểm tra hộp thư email của khách hàng trong vòng 5 phút</t>
  </si>
  <si>
    <t>Mã vé điện tử kèm mã QR phải được gửi đến email khách hàng ngay sau khi thanh toán thành công</t>
  </si>
  <si>
    <t>Email chứa mã vé/QR không được gửi đi do lỗi hàng đợi gửi mail (mail queue), khách hàng chỉ thấy vé trên màn hình mà không nhận được email xác nhận</t>
  </si>
  <si>
    <t>Thiếu cơ chế retry/giám sát hàng đợi gửi email khi gửi mã vé điện tử thất bại</t>
  </si>
  <si>
    <t>Tỷ lệ thành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</si>
</sst>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sz val="10"/>
      <name val="Arial"/>
    </font>
    <font>
      <b/>
      <sz val="14"/>
      <color rgb="FFFFFFFF"/>
      <name val="Arial"/>
      <charset val="1"/>
    </font>
    <font>
      <i/>
      <sz val="10"/>
      <name val="Arial"/>
      <charset val="1"/>
    </font>
    <font>
      <b/>
      <sz val="10"/>
      <color rgb="FFFFFFFF"/>
      <name val="Arial"/>
      <charset val="1"/>
    </font>
    <font>
      <sz val="10"/>
      <name val="Arial"/>
      <charset val="1"/>
    </font>
    <font>
      <b/>
      <sz val="10"/>
      <name val="Arial"/>
      <charset val="1"/>
    </font>
    <font>
      <i/>
      <sz val="10"/>
      <name val="Arial"/>
      <family val="2"/>
    </font>
    <font>
      <b/>
      <sz val="10"/>
      <color rgb="FFFFFFFF"/>
      <name val="Times New Roman"/>
      <family val="1"/>
    </font>
    <font>
      <sz val="10"/>
      <name val="Times New Roman"/>
      <family val="1"/>
    </font>
    <font>
      <b/>
      <sz val="10"/>
      <color rgb="FF006100"/>
      <name val="Times New Roman"/>
      <family val="1"/>
    </font>
    <font>
      <b/>
      <sz val="10"/>
      <color rgb="FF9C0006"/>
      <name val="Times New Roman"/>
      <family val="1"/>
    </font>
    <font>
      <b/>
      <sz val="14"/>
      <color theme="0"/>
      <name val="Arial"/>
      <family val="2"/>
    </font>
    <font>
      <sz val="10"/>
      <color theme="0"/>
      <name val="Arial"/>
      <family val="2"/>
    </font>
  </fonts>
  <fills count="10">
    <fill>
      <patternFill patternType="none"/>
    </fill>
    <fill>
      <patternFill patternType="gray125"/>
    </fill>
    <fill>
      <patternFill patternType="solid">
        <fgColor rgb="FF1F4E78"/>
        <bgColor rgb="FF305496"/>
      </patternFill>
    </fill>
    <fill>
      <patternFill patternType="solid">
        <fgColor rgb="FF305496"/>
        <bgColor rgb="FF1F4E78"/>
      </patternFill>
    </fill>
    <fill>
      <patternFill patternType="solid">
        <fgColor rgb="FFC6EFCE"/>
        <bgColor rgb="FFD9E1F2"/>
      </patternFill>
    </fill>
    <fill>
      <patternFill patternType="solid">
        <fgColor rgb="FFFFC7CE"/>
        <bgColor rgb="FFD9E1F2"/>
      </patternFill>
    </fill>
    <fill>
      <patternFill patternType="solid">
        <fgColor theme="3"/>
        <bgColor indexed="64"/>
      </patternFill>
    </fill>
    <fill>
      <patternFill patternType="solid">
        <fgColor theme="3"/>
        <bgColor rgb="FF1F4E78"/>
      </patternFill>
    </fill>
    <fill>
      <patternFill patternType="solid">
        <fgColor theme="4" tint="0.59999389629810485"/>
        <bgColor indexed="64"/>
      </patternFill>
    </fill>
    <fill>
      <patternFill patternType="solid">
        <fgColor theme="4" tint="0.59999389629810485"/>
        <bgColor rgb="FFC6EFCE"/>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9" fontId="1" fillId="0" borderId="0" applyBorder="0" applyAlignment="0" applyProtection="0"/>
  </cellStyleXfs>
  <cellXfs count="24">
    <xf numFmtId="0" fontId="0" fillId="0" borderId="0" xfId="0"/>
    <xf numFmtId="0" fontId="3" fillId="0" borderId="0" xfId="0" applyFont="1" applyAlignment="1">
      <alignment horizontal="left"/>
    </xf>
    <xf numFmtId="0" fontId="2" fillId="2" borderId="0" xfId="0" applyFont="1" applyFill="1" applyAlignment="1">
      <alignment horizontal="center" vertical="center"/>
    </xf>
    <xf numFmtId="0" fontId="7" fillId="0" borderId="0" xfId="0" applyFont="1" applyAlignment="1">
      <alignment horizontal="left"/>
    </xf>
    <xf numFmtId="0" fontId="8" fillId="3" borderId="0" xfId="0" applyFont="1" applyFill="1" applyAlignment="1">
      <alignment horizontal="center" vertical="center" wrapText="1"/>
    </xf>
    <xf numFmtId="0" fontId="9" fillId="0" borderId="1" xfId="0" applyFont="1" applyBorder="1" applyAlignment="1">
      <alignment horizontal="center" vertical="top"/>
    </xf>
    <xf numFmtId="0" fontId="9" fillId="0" borderId="1" xfId="0" applyFont="1" applyBorder="1" applyAlignment="1">
      <alignment horizontal="left" vertical="top" wrapText="1"/>
    </xf>
    <xf numFmtId="0" fontId="10" fillId="4" borderId="1" xfId="0" applyFont="1" applyFill="1" applyBorder="1" applyAlignment="1">
      <alignment horizontal="center" vertical="center"/>
    </xf>
    <xf numFmtId="0" fontId="9" fillId="0" borderId="1" xfId="0" applyFont="1" applyBorder="1" applyAlignment="1">
      <alignment horizontal="center" vertical="center"/>
    </xf>
    <xf numFmtId="14" fontId="9" fillId="0" borderId="1" xfId="0" applyNumberFormat="1" applyFont="1" applyBorder="1" applyAlignment="1">
      <alignment horizontal="left" vertical="top" wrapText="1"/>
    </xf>
    <xf numFmtId="0" fontId="11" fillId="5" borderId="1" xfId="0" applyFont="1" applyFill="1" applyBorder="1" applyAlignment="1">
      <alignment horizontal="center" vertical="center"/>
    </xf>
    <xf numFmtId="9" fontId="1" fillId="0" borderId="0" xfId="1"/>
    <xf numFmtId="0" fontId="5" fillId="0" borderId="2" xfId="0" applyFont="1" applyBorder="1" applyAlignment="1">
      <alignment horizontal="left"/>
    </xf>
    <xf numFmtId="0" fontId="5" fillId="0" borderId="2" xfId="0" applyFont="1" applyBorder="1" applyAlignment="1">
      <alignment horizontal="center"/>
    </xf>
    <xf numFmtId="0" fontId="6" fillId="9" borderId="2" xfId="0" applyFont="1" applyFill="1" applyBorder="1"/>
    <xf numFmtId="0" fontId="12" fillId="6" borderId="0" xfId="0" applyFont="1" applyFill="1" applyAlignment="1">
      <alignment horizontal="center"/>
    </xf>
    <xf numFmtId="0" fontId="12" fillId="6" borderId="3" xfId="0" applyFont="1" applyFill="1" applyBorder="1" applyAlignment="1">
      <alignment horizontal="center"/>
    </xf>
    <xf numFmtId="9" fontId="1" fillId="0" borderId="4" xfId="1" applyBorder="1"/>
    <xf numFmtId="0" fontId="4" fillId="3" borderId="2" xfId="0" applyFont="1" applyFill="1" applyBorder="1" applyAlignment="1">
      <alignment horizontal="center"/>
    </xf>
    <xf numFmtId="0" fontId="4" fillId="7" borderId="2" xfId="0" applyFont="1" applyFill="1" applyBorder="1" applyAlignment="1">
      <alignment horizontal="center"/>
    </xf>
    <xf numFmtId="9" fontId="13" fillId="6" borderId="2" xfId="1" applyFont="1" applyFill="1" applyBorder="1"/>
    <xf numFmtId="9" fontId="1" fillId="0" borderId="2" xfId="1" applyBorder="1" applyAlignment="1">
      <alignment horizontal="center" vertical="center"/>
    </xf>
    <xf numFmtId="9" fontId="1" fillId="8" borderId="2" xfId="1" applyFill="1" applyBorder="1" applyAlignment="1">
      <alignment horizontal="center" vertical="center"/>
    </xf>
    <xf numFmtId="0" fontId="6" fillId="9" borderId="2"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
  <sheetViews>
    <sheetView zoomScaleNormal="100" workbookViewId="0">
      <pane ySplit="4" topLeftCell="A5" activePane="bottomLeft" state="frozen"/>
      <selection pane="bottomLeft" activeCell="B47" sqref="B47"/>
    </sheetView>
  </sheetViews>
  <sheetFormatPr baseColWidth="10" defaultColWidth="8.6640625" defaultRowHeight="15" x14ac:dyDescent="0.2"/>
  <cols>
    <col min="1" max="1" width="5" customWidth="1"/>
    <col min="2" max="2" width="14" customWidth="1"/>
    <col min="3" max="3" width="24" customWidth="1"/>
    <col min="4" max="4" width="30" customWidth="1"/>
    <col min="5" max="6" width="28" customWidth="1"/>
    <col min="7" max="8" width="34" customWidth="1"/>
    <col min="9" max="9" width="24" customWidth="1"/>
    <col min="10" max="10" width="10" customWidth="1"/>
    <col min="11" max="11" width="12" customWidth="1"/>
    <col min="12" max="12" width="14" customWidth="1"/>
    <col min="13" max="13" width="13" customWidth="1"/>
    <col min="14" max="14" width="22.6640625" customWidth="1"/>
  </cols>
  <sheetData>
    <row r="1" spans="1:14" ht="25.5" customHeight="1" x14ac:dyDescent="0.2">
      <c r="A1" s="2" t="s">
        <v>0</v>
      </c>
      <c r="B1" s="2"/>
      <c r="C1" s="2"/>
      <c r="D1" s="2"/>
      <c r="E1" s="2"/>
      <c r="F1" s="2"/>
      <c r="G1" s="2"/>
      <c r="H1" s="2"/>
      <c r="I1" s="2"/>
      <c r="J1" s="2"/>
      <c r="K1" s="2"/>
      <c r="L1" s="2"/>
      <c r="M1" s="2"/>
      <c r="N1" s="2"/>
    </row>
    <row r="2" spans="1:14" x14ac:dyDescent="0.2">
      <c r="A2" s="3" t="s">
        <v>215</v>
      </c>
      <c r="B2" s="1"/>
      <c r="C2" s="1"/>
      <c r="D2" s="1"/>
      <c r="E2" s="1"/>
      <c r="F2" s="1"/>
      <c r="G2" s="1"/>
      <c r="H2" s="1"/>
      <c r="I2" s="1"/>
      <c r="J2" s="1"/>
      <c r="K2" s="1"/>
      <c r="L2" s="1"/>
      <c r="M2" s="1"/>
      <c r="N2" s="1"/>
    </row>
    <row r="4" spans="1:14" x14ac:dyDescent="0.2">
      <c r="A4" s="4" t="s">
        <v>1</v>
      </c>
      <c r="B4" s="4" t="s">
        <v>2</v>
      </c>
      <c r="C4" s="4" t="s">
        <v>3</v>
      </c>
      <c r="D4" s="4" t="s">
        <v>4</v>
      </c>
      <c r="E4" s="4" t="s">
        <v>5</v>
      </c>
      <c r="F4" s="4" t="s">
        <v>6</v>
      </c>
      <c r="G4" s="4" t="s">
        <v>7</v>
      </c>
      <c r="H4" s="4" t="s">
        <v>8</v>
      </c>
      <c r="I4" s="4" t="s">
        <v>9</v>
      </c>
      <c r="J4" s="4" t="s">
        <v>10</v>
      </c>
      <c r="K4" s="4" t="s">
        <v>11</v>
      </c>
      <c r="L4" s="4" t="s">
        <v>12</v>
      </c>
      <c r="M4" s="4" t="s">
        <v>13</v>
      </c>
      <c r="N4" s="4" t="s">
        <v>14</v>
      </c>
    </row>
    <row r="5" spans="1:14" ht="42" x14ac:dyDescent="0.2">
      <c r="A5" s="5">
        <v>1</v>
      </c>
      <c r="B5" s="6" t="s">
        <v>220</v>
      </c>
      <c r="C5" s="6" t="s">
        <v>15</v>
      </c>
      <c r="D5" s="6" t="s">
        <v>16</v>
      </c>
      <c r="E5" s="6" t="s">
        <v>17</v>
      </c>
      <c r="F5" s="6" t="s">
        <v>18</v>
      </c>
      <c r="G5" s="6" t="s">
        <v>19</v>
      </c>
      <c r="H5" s="6" t="s">
        <v>20</v>
      </c>
      <c r="I5" s="6" t="s">
        <v>21</v>
      </c>
      <c r="J5" s="7" t="s">
        <v>22</v>
      </c>
      <c r="K5" s="8" t="s">
        <v>23</v>
      </c>
      <c r="L5" s="6" t="s">
        <v>223</v>
      </c>
      <c r="M5" s="9">
        <v>46183</v>
      </c>
      <c r="N5" s="6"/>
    </row>
    <row r="6" spans="1:14" ht="42" x14ac:dyDescent="0.2">
      <c r="A6" s="5">
        <v>2</v>
      </c>
      <c r="B6" s="6" t="s">
        <v>221</v>
      </c>
      <c r="C6" s="6" t="s">
        <v>15</v>
      </c>
      <c r="D6" s="6" t="s">
        <v>26</v>
      </c>
      <c r="E6" s="6" t="s">
        <v>27</v>
      </c>
      <c r="F6" s="6" t="s">
        <v>28</v>
      </c>
      <c r="G6" s="6" t="s">
        <v>29</v>
      </c>
      <c r="H6" s="6" t="s">
        <v>30</v>
      </c>
      <c r="I6" s="6" t="s">
        <v>21</v>
      </c>
      <c r="J6" s="7" t="s">
        <v>22</v>
      </c>
      <c r="K6" s="8" t="s">
        <v>23</v>
      </c>
      <c r="L6" s="6" t="s">
        <v>223</v>
      </c>
      <c r="M6" s="9">
        <v>46183</v>
      </c>
      <c r="N6" s="6"/>
    </row>
    <row r="7" spans="1:14" ht="56" x14ac:dyDescent="0.2">
      <c r="A7" s="5">
        <v>3</v>
      </c>
      <c r="B7" s="6" t="s">
        <v>222</v>
      </c>
      <c r="C7" s="6" t="s">
        <v>15</v>
      </c>
      <c r="D7" s="6" t="s">
        <v>31</v>
      </c>
      <c r="E7" s="6" t="s">
        <v>32</v>
      </c>
      <c r="F7" s="6" t="s">
        <v>33</v>
      </c>
      <c r="G7" s="6" t="s">
        <v>34</v>
      </c>
      <c r="H7" s="6" t="s">
        <v>35</v>
      </c>
      <c r="I7" s="6" t="s">
        <v>21</v>
      </c>
      <c r="J7" s="7" t="s">
        <v>22</v>
      </c>
      <c r="K7" s="8" t="s">
        <v>23</v>
      </c>
      <c r="L7" s="6" t="s">
        <v>223</v>
      </c>
      <c r="M7" s="9">
        <v>46183</v>
      </c>
      <c r="N7" s="6"/>
    </row>
    <row r="8" spans="1:14" ht="42" x14ac:dyDescent="0.2">
      <c r="A8" s="5">
        <v>4</v>
      </c>
      <c r="B8" s="6" t="s">
        <v>224</v>
      </c>
      <c r="C8" s="6" t="s">
        <v>15</v>
      </c>
      <c r="D8" s="6" t="s">
        <v>36</v>
      </c>
      <c r="E8" s="6" t="s">
        <v>37</v>
      </c>
      <c r="F8" s="6" t="s">
        <v>38</v>
      </c>
      <c r="G8" s="6" t="s">
        <v>39</v>
      </c>
      <c r="H8" s="6" t="s">
        <v>40</v>
      </c>
      <c r="I8" s="6" t="s">
        <v>21</v>
      </c>
      <c r="J8" s="7" t="s">
        <v>22</v>
      </c>
      <c r="K8" s="8" t="s">
        <v>41</v>
      </c>
      <c r="L8" s="6" t="s">
        <v>223</v>
      </c>
      <c r="M8" s="9">
        <v>46183</v>
      </c>
      <c r="N8" s="6"/>
    </row>
    <row r="9" spans="1:14" ht="42" x14ac:dyDescent="0.2">
      <c r="A9" s="5">
        <v>5</v>
      </c>
      <c r="B9" s="6" t="s">
        <v>225</v>
      </c>
      <c r="C9" s="6" t="s">
        <v>15</v>
      </c>
      <c r="D9" s="6" t="s">
        <v>42</v>
      </c>
      <c r="E9" s="6" t="s">
        <v>37</v>
      </c>
      <c r="F9" s="6" t="s">
        <v>43</v>
      </c>
      <c r="G9" s="6" t="s">
        <v>44</v>
      </c>
      <c r="H9" s="6" t="s">
        <v>45</v>
      </c>
      <c r="I9" s="6" t="s">
        <v>21</v>
      </c>
      <c r="J9" s="7" t="s">
        <v>22</v>
      </c>
      <c r="K9" s="8" t="s">
        <v>41</v>
      </c>
      <c r="L9" s="6" t="s">
        <v>223</v>
      </c>
      <c r="M9" s="9">
        <v>46183</v>
      </c>
      <c r="N9" s="6"/>
    </row>
    <row r="10" spans="1:14" ht="56" x14ac:dyDescent="0.2">
      <c r="A10" s="5">
        <v>6</v>
      </c>
      <c r="B10" s="6" t="s">
        <v>226</v>
      </c>
      <c r="C10" s="6" t="s">
        <v>46</v>
      </c>
      <c r="D10" s="6" t="s">
        <v>47</v>
      </c>
      <c r="E10" s="6" t="s">
        <v>48</v>
      </c>
      <c r="F10" s="6" t="s">
        <v>216</v>
      </c>
      <c r="G10" s="6" t="s">
        <v>49</v>
      </c>
      <c r="H10" s="6" t="s">
        <v>50</v>
      </c>
      <c r="I10" s="6" t="s">
        <v>21</v>
      </c>
      <c r="J10" s="7" t="s">
        <v>22</v>
      </c>
      <c r="K10" s="8" t="s">
        <v>23</v>
      </c>
      <c r="L10" s="6" t="s">
        <v>223</v>
      </c>
      <c r="M10" s="9">
        <v>46183</v>
      </c>
      <c r="N10" s="6"/>
    </row>
    <row r="11" spans="1:14" ht="56" x14ac:dyDescent="0.2">
      <c r="A11" s="5">
        <v>7</v>
      </c>
      <c r="B11" s="6" t="s">
        <v>227</v>
      </c>
      <c r="C11" s="6" t="s">
        <v>46</v>
      </c>
      <c r="D11" s="6" t="s">
        <v>51</v>
      </c>
      <c r="E11" s="6" t="s">
        <v>217</v>
      </c>
      <c r="F11" s="6" t="s">
        <v>218</v>
      </c>
      <c r="G11" s="6" t="s">
        <v>52</v>
      </c>
      <c r="H11" s="6" t="s">
        <v>53</v>
      </c>
      <c r="I11" s="6" t="s">
        <v>21</v>
      </c>
      <c r="J11" s="7" t="s">
        <v>22</v>
      </c>
      <c r="K11" s="8" t="s">
        <v>23</v>
      </c>
      <c r="L11" s="6" t="s">
        <v>223</v>
      </c>
      <c r="M11" s="9">
        <v>46183</v>
      </c>
      <c r="N11" s="6"/>
    </row>
    <row r="12" spans="1:14" ht="56" x14ac:dyDescent="0.2">
      <c r="A12" s="5">
        <v>8</v>
      </c>
      <c r="B12" s="6" t="s">
        <v>228</v>
      </c>
      <c r="C12" s="6" t="s">
        <v>46</v>
      </c>
      <c r="D12" s="6" t="s">
        <v>54</v>
      </c>
      <c r="E12" s="6" t="s">
        <v>55</v>
      </c>
      <c r="F12" s="6" t="s">
        <v>56</v>
      </c>
      <c r="G12" s="6" t="s">
        <v>57</v>
      </c>
      <c r="H12" s="6" t="s">
        <v>58</v>
      </c>
      <c r="I12" s="6" t="s">
        <v>21</v>
      </c>
      <c r="J12" s="7" t="s">
        <v>22</v>
      </c>
      <c r="K12" s="8" t="s">
        <v>41</v>
      </c>
      <c r="L12" s="6" t="s">
        <v>223</v>
      </c>
      <c r="M12" s="9">
        <v>46183</v>
      </c>
      <c r="N12" s="6"/>
    </row>
    <row r="13" spans="1:14" ht="56" x14ac:dyDescent="0.2">
      <c r="A13" s="5">
        <v>9</v>
      </c>
      <c r="B13" s="6" t="s">
        <v>229</v>
      </c>
      <c r="C13" s="6" t="s">
        <v>46</v>
      </c>
      <c r="D13" s="6" t="s">
        <v>59</v>
      </c>
      <c r="E13" s="6" t="s">
        <v>60</v>
      </c>
      <c r="F13" s="6" t="s">
        <v>61</v>
      </c>
      <c r="G13" s="6" t="s">
        <v>62</v>
      </c>
      <c r="H13" s="6" t="s">
        <v>63</v>
      </c>
      <c r="I13" s="6" t="s">
        <v>21</v>
      </c>
      <c r="J13" s="7" t="s">
        <v>22</v>
      </c>
      <c r="K13" s="8" t="s">
        <v>23</v>
      </c>
      <c r="L13" s="6" t="s">
        <v>223</v>
      </c>
      <c r="M13" s="9">
        <v>46183</v>
      </c>
      <c r="N13" s="6"/>
    </row>
    <row r="14" spans="1:14" ht="28" x14ac:dyDescent="0.2">
      <c r="A14" s="5">
        <v>10</v>
      </c>
      <c r="B14" s="6" t="s">
        <v>230</v>
      </c>
      <c r="C14" s="6" t="s">
        <v>46</v>
      </c>
      <c r="D14" s="6" t="s">
        <v>64</v>
      </c>
      <c r="E14" s="6" t="s">
        <v>65</v>
      </c>
      <c r="F14" s="6" t="s">
        <v>219</v>
      </c>
      <c r="G14" s="6" t="s">
        <v>66</v>
      </c>
      <c r="H14" s="6" t="s">
        <v>67</v>
      </c>
      <c r="I14" s="6" t="s">
        <v>21</v>
      </c>
      <c r="J14" s="7" t="s">
        <v>22</v>
      </c>
      <c r="K14" s="8" t="s">
        <v>41</v>
      </c>
      <c r="L14" s="6" t="s">
        <v>223</v>
      </c>
      <c r="M14" s="9">
        <v>46183</v>
      </c>
      <c r="N14" s="6"/>
    </row>
    <row r="15" spans="1:14" ht="84" x14ac:dyDescent="0.2">
      <c r="A15" s="5">
        <v>11</v>
      </c>
      <c r="B15" s="6" t="s">
        <v>296</v>
      </c>
      <c r="C15" s="6" t="s">
        <v>46</v>
      </c>
      <c r="D15" s="6" t="s">
        <v>274</v>
      </c>
      <c r="E15" s="6" t="s">
        <v>275</v>
      </c>
      <c r="F15" s="6" t="s">
        <v>276</v>
      </c>
      <c r="G15" s="6" t="s">
        <v>277</v>
      </c>
      <c r="H15" s="6" t="s">
        <v>278</v>
      </c>
      <c r="I15" s="6" t="s">
        <v>279</v>
      </c>
      <c r="J15" s="10" t="s">
        <v>213</v>
      </c>
      <c r="K15" s="8" t="s">
        <v>41</v>
      </c>
      <c r="L15" s="6" t="s">
        <v>24</v>
      </c>
      <c r="M15" s="6" t="s">
        <v>25</v>
      </c>
      <c r="N15" s="6" t="s">
        <v>280</v>
      </c>
    </row>
    <row r="16" spans="1:14" ht="84" x14ac:dyDescent="0.2">
      <c r="A16" s="5">
        <v>12</v>
      </c>
      <c r="B16" s="6" t="s">
        <v>297</v>
      </c>
      <c r="C16" s="6" t="s">
        <v>46</v>
      </c>
      <c r="D16" s="6" t="s">
        <v>281</v>
      </c>
      <c r="E16" s="6" t="s">
        <v>282</v>
      </c>
      <c r="F16" s="6" t="s">
        <v>283</v>
      </c>
      <c r="G16" s="6" t="s">
        <v>284</v>
      </c>
      <c r="H16" s="6" t="s">
        <v>285</v>
      </c>
      <c r="I16" s="6" t="s">
        <v>286</v>
      </c>
      <c r="J16" s="10" t="s">
        <v>213</v>
      </c>
      <c r="K16" s="8" t="s">
        <v>23</v>
      </c>
      <c r="L16" s="6" t="s">
        <v>24</v>
      </c>
      <c r="M16" s="6" t="s">
        <v>25</v>
      </c>
      <c r="N16" s="6" t="s">
        <v>287</v>
      </c>
    </row>
    <row r="17" spans="1:14" ht="56" x14ac:dyDescent="0.2">
      <c r="A17" s="5">
        <v>13</v>
      </c>
      <c r="B17" s="6" t="s">
        <v>231</v>
      </c>
      <c r="C17" s="6" t="s">
        <v>68</v>
      </c>
      <c r="D17" s="6" t="s">
        <v>69</v>
      </c>
      <c r="E17" s="6" t="s">
        <v>70</v>
      </c>
      <c r="F17" s="6" t="s">
        <v>71</v>
      </c>
      <c r="G17" s="6" t="s">
        <v>72</v>
      </c>
      <c r="H17" s="6" t="s">
        <v>73</v>
      </c>
      <c r="I17" s="6" t="s">
        <v>21</v>
      </c>
      <c r="J17" s="7" t="s">
        <v>22</v>
      </c>
      <c r="K17" s="8" t="s">
        <v>23</v>
      </c>
      <c r="L17" s="6" t="s">
        <v>223</v>
      </c>
      <c r="M17" s="9">
        <v>46183</v>
      </c>
      <c r="N17" s="6"/>
    </row>
    <row r="18" spans="1:14" ht="56" x14ac:dyDescent="0.2">
      <c r="A18" s="5">
        <v>14</v>
      </c>
      <c r="B18" s="6" t="s">
        <v>232</v>
      </c>
      <c r="C18" s="6" t="s">
        <v>68</v>
      </c>
      <c r="D18" s="6" t="s">
        <v>74</v>
      </c>
      <c r="E18" s="6" t="s">
        <v>75</v>
      </c>
      <c r="F18" s="6" t="s">
        <v>76</v>
      </c>
      <c r="G18" s="6" t="s">
        <v>77</v>
      </c>
      <c r="H18" s="6" t="s">
        <v>78</v>
      </c>
      <c r="I18" s="6" t="s">
        <v>21</v>
      </c>
      <c r="J18" s="7" t="s">
        <v>22</v>
      </c>
      <c r="K18" s="8" t="s">
        <v>23</v>
      </c>
      <c r="L18" s="6" t="s">
        <v>223</v>
      </c>
      <c r="M18" s="9">
        <v>46183</v>
      </c>
      <c r="N18" s="6"/>
    </row>
    <row r="19" spans="1:14" ht="56" x14ac:dyDescent="0.2">
      <c r="A19" s="5">
        <v>15</v>
      </c>
      <c r="B19" s="6" t="s">
        <v>233</v>
      </c>
      <c r="C19" s="6" t="s">
        <v>68</v>
      </c>
      <c r="D19" s="6" t="s">
        <v>79</v>
      </c>
      <c r="E19" s="6" t="s">
        <v>80</v>
      </c>
      <c r="F19" s="6" t="s">
        <v>81</v>
      </c>
      <c r="G19" s="6" t="s">
        <v>82</v>
      </c>
      <c r="H19" s="6" t="s">
        <v>83</v>
      </c>
      <c r="I19" s="6" t="s">
        <v>21</v>
      </c>
      <c r="J19" s="7" t="s">
        <v>22</v>
      </c>
      <c r="K19" s="8" t="s">
        <v>23</v>
      </c>
      <c r="L19" s="6" t="s">
        <v>223</v>
      </c>
      <c r="M19" s="9">
        <v>46183</v>
      </c>
      <c r="N19" s="6"/>
    </row>
    <row r="20" spans="1:14" ht="70" x14ac:dyDescent="0.2">
      <c r="A20" s="5">
        <v>16</v>
      </c>
      <c r="B20" s="6" t="s">
        <v>234</v>
      </c>
      <c r="C20" s="6" t="s">
        <v>68</v>
      </c>
      <c r="D20" s="6" t="s">
        <v>84</v>
      </c>
      <c r="E20" s="6" t="s">
        <v>85</v>
      </c>
      <c r="F20" s="6" t="s">
        <v>86</v>
      </c>
      <c r="G20" s="6" t="s">
        <v>87</v>
      </c>
      <c r="H20" s="6" t="s">
        <v>88</v>
      </c>
      <c r="I20" s="6" t="s">
        <v>21</v>
      </c>
      <c r="J20" s="7" t="s">
        <v>22</v>
      </c>
      <c r="K20" s="8" t="s">
        <v>41</v>
      </c>
      <c r="L20" s="6" t="s">
        <v>223</v>
      </c>
      <c r="M20" s="9">
        <v>46183</v>
      </c>
      <c r="N20" s="6"/>
    </row>
    <row r="21" spans="1:14" ht="56" x14ac:dyDescent="0.2">
      <c r="A21" s="5">
        <v>17</v>
      </c>
      <c r="B21" s="6" t="s">
        <v>235</v>
      </c>
      <c r="C21" s="6" t="s">
        <v>68</v>
      </c>
      <c r="D21" s="6" t="s">
        <v>89</v>
      </c>
      <c r="E21" s="6" t="s">
        <v>90</v>
      </c>
      <c r="F21" s="6" t="s">
        <v>91</v>
      </c>
      <c r="G21" s="6" t="s">
        <v>92</v>
      </c>
      <c r="H21" s="6" t="s">
        <v>93</v>
      </c>
      <c r="I21" s="6" t="s">
        <v>21</v>
      </c>
      <c r="J21" s="7" t="s">
        <v>22</v>
      </c>
      <c r="K21" s="8" t="s">
        <v>41</v>
      </c>
      <c r="L21" s="6" t="s">
        <v>223</v>
      </c>
      <c r="M21" s="9">
        <v>46183</v>
      </c>
      <c r="N21" s="6"/>
    </row>
    <row r="22" spans="1:14" ht="84" x14ac:dyDescent="0.2">
      <c r="A22" s="5">
        <v>18</v>
      </c>
      <c r="B22" s="6" t="s">
        <v>295</v>
      </c>
      <c r="C22" s="6" t="s">
        <v>68</v>
      </c>
      <c r="D22" s="6" t="s">
        <v>288</v>
      </c>
      <c r="E22" s="6" t="s">
        <v>289</v>
      </c>
      <c r="F22" s="6" t="s">
        <v>290</v>
      </c>
      <c r="G22" s="6" t="s">
        <v>291</v>
      </c>
      <c r="H22" s="6" t="s">
        <v>292</v>
      </c>
      <c r="I22" s="6" t="s">
        <v>293</v>
      </c>
      <c r="J22" s="10" t="s">
        <v>213</v>
      </c>
      <c r="K22" s="8" t="s">
        <v>23</v>
      </c>
      <c r="L22" s="6" t="s">
        <v>24</v>
      </c>
      <c r="M22" s="6" t="s">
        <v>25</v>
      </c>
      <c r="N22" s="6" t="s">
        <v>294</v>
      </c>
    </row>
    <row r="23" spans="1:14" ht="42" x14ac:dyDescent="0.2">
      <c r="A23" s="5">
        <v>19</v>
      </c>
      <c r="B23" s="6" t="s">
        <v>236</v>
      </c>
      <c r="C23" s="6" t="s">
        <v>94</v>
      </c>
      <c r="D23" s="6" t="s">
        <v>95</v>
      </c>
      <c r="E23" s="6" t="s">
        <v>96</v>
      </c>
      <c r="F23" s="6" t="s">
        <v>97</v>
      </c>
      <c r="G23" s="6" t="s">
        <v>98</v>
      </c>
      <c r="H23" s="6" t="s">
        <v>99</v>
      </c>
      <c r="I23" s="6" t="s">
        <v>21</v>
      </c>
      <c r="J23" s="7" t="s">
        <v>22</v>
      </c>
      <c r="K23" s="8" t="s">
        <v>23</v>
      </c>
      <c r="L23" s="6" t="s">
        <v>223</v>
      </c>
      <c r="M23" s="9">
        <v>46183</v>
      </c>
      <c r="N23" s="6"/>
    </row>
    <row r="24" spans="1:14" ht="42" x14ac:dyDescent="0.2">
      <c r="A24" s="5">
        <v>20</v>
      </c>
      <c r="B24" s="6" t="s">
        <v>237</v>
      </c>
      <c r="C24" s="6" t="s">
        <v>94</v>
      </c>
      <c r="D24" s="6" t="s">
        <v>100</v>
      </c>
      <c r="E24" s="6" t="s">
        <v>55</v>
      </c>
      <c r="F24" s="6" t="s">
        <v>101</v>
      </c>
      <c r="G24" s="6" t="s">
        <v>102</v>
      </c>
      <c r="H24" s="6" t="s">
        <v>103</v>
      </c>
      <c r="I24" s="6" t="s">
        <v>21</v>
      </c>
      <c r="J24" s="7" t="s">
        <v>22</v>
      </c>
      <c r="K24" s="8" t="s">
        <v>41</v>
      </c>
      <c r="L24" s="6" t="s">
        <v>223</v>
      </c>
      <c r="M24" s="9">
        <v>46183</v>
      </c>
      <c r="N24" s="6"/>
    </row>
    <row r="25" spans="1:14" ht="56" x14ac:dyDescent="0.2">
      <c r="A25" s="5">
        <v>21</v>
      </c>
      <c r="B25" s="6" t="s">
        <v>238</v>
      </c>
      <c r="C25" s="6" t="s">
        <v>94</v>
      </c>
      <c r="D25" s="6" t="s">
        <v>104</v>
      </c>
      <c r="E25" s="6" t="s">
        <v>105</v>
      </c>
      <c r="F25" s="6" t="s">
        <v>106</v>
      </c>
      <c r="G25" s="6" t="s">
        <v>107</v>
      </c>
      <c r="H25" s="6" t="s">
        <v>108</v>
      </c>
      <c r="I25" s="6" t="s">
        <v>21</v>
      </c>
      <c r="J25" s="7" t="s">
        <v>22</v>
      </c>
      <c r="K25" s="8" t="s">
        <v>23</v>
      </c>
      <c r="L25" s="6" t="s">
        <v>223</v>
      </c>
      <c r="M25" s="9">
        <v>46183</v>
      </c>
      <c r="N25" s="6"/>
    </row>
    <row r="26" spans="1:14" ht="70" x14ac:dyDescent="0.2">
      <c r="A26" s="5">
        <v>22</v>
      </c>
      <c r="B26" s="6" t="s">
        <v>239</v>
      </c>
      <c r="C26" s="6" t="s">
        <v>94</v>
      </c>
      <c r="D26" s="6" t="s">
        <v>109</v>
      </c>
      <c r="E26" s="6" t="s">
        <v>110</v>
      </c>
      <c r="F26" s="6" t="s">
        <v>111</v>
      </c>
      <c r="G26" s="6" t="s">
        <v>112</v>
      </c>
      <c r="H26" s="6" t="s">
        <v>113</v>
      </c>
      <c r="I26" s="6" t="s">
        <v>21</v>
      </c>
      <c r="J26" s="7" t="s">
        <v>22</v>
      </c>
      <c r="K26" s="8" t="s">
        <v>41</v>
      </c>
      <c r="L26" s="6" t="s">
        <v>223</v>
      </c>
      <c r="M26" s="9">
        <v>46183</v>
      </c>
      <c r="N26" s="6"/>
    </row>
    <row r="27" spans="1:14" ht="42" x14ac:dyDescent="0.2">
      <c r="A27" s="5">
        <v>23</v>
      </c>
      <c r="B27" s="6" t="s">
        <v>240</v>
      </c>
      <c r="C27" s="6" t="s">
        <v>94</v>
      </c>
      <c r="D27" s="6" t="s">
        <v>114</v>
      </c>
      <c r="E27" s="6" t="s">
        <v>115</v>
      </c>
      <c r="F27" s="6" t="s">
        <v>116</v>
      </c>
      <c r="G27" s="6" t="s">
        <v>117</v>
      </c>
      <c r="H27" s="6" t="s">
        <v>118</v>
      </c>
      <c r="I27" s="6" t="s">
        <v>21</v>
      </c>
      <c r="J27" s="7" t="s">
        <v>22</v>
      </c>
      <c r="K27" s="8" t="s">
        <v>23</v>
      </c>
      <c r="L27" s="6" t="s">
        <v>223</v>
      </c>
      <c r="M27" s="9">
        <v>46183</v>
      </c>
      <c r="N27" s="6"/>
    </row>
    <row r="28" spans="1:14" ht="70" x14ac:dyDescent="0.2">
      <c r="A28" s="5">
        <v>24</v>
      </c>
      <c r="B28" s="6" t="s">
        <v>119</v>
      </c>
      <c r="C28" s="6" t="s">
        <v>120</v>
      </c>
      <c r="D28" s="6" t="s">
        <v>121</v>
      </c>
      <c r="E28" s="6" t="s">
        <v>122</v>
      </c>
      <c r="F28" s="6" t="s">
        <v>123</v>
      </c>
      <c r="G28" s="6" t="s">
        <v>124</v>
      </c>
      <c r="H28" s="6" t="s">
        <v>125</v>
      </c>
      <c r="I28" s="6" t="s">
        <v>21</v>
      </c>
      <c r="J28" s="7" t="s">
        <v>22</v>
      </c>
      <c r="K28" s="8" t="s">
        <v>23</v>
      </c>
      <c r="L28" s="6" t="s">
        <v>223</v>
      </c>
      <c r="M28" s="9">
        <v>46183</v>
      </c>
      <c r="N28" s="6"/>
    </row>
    <row r="29" spans="1:14" ht="42" x14ac:dyDescent="0.2">
      <c r="A29" s="5">
        <v>25</v>
      </c>
      <c r="B29" s="6" t="s">
        <v>126</v>
      </c>
      <c r="C29" s="6" t="s">
        <v>120</v>
      </c>
      <c r="D29" s="6" t="s">
        <v>127</v>
      </c>
      <c r="E29" s="6" t="s">
        <v>128</v>
      </c>
      <c r="F29" s="6" t="s">
        <v>129</v>
      </c>
      <c r="G29" s="6" t="s">
        <v>130</v>
      </c>
      <c r="H29" s="6" t="s">
        <v>131</v>
      </c>
      <c r="I29" s="6" t="s">
        <v>21</v>
      </c>
      <c r="J29" s="7" t="s">
        <v>22</v>
      </c>
      <c r="K29" s="8" t="s">
        <v>23</v>
      </c>
      <c r="L29" s="6" t="s">
        <v>223</v>
      </c>
      <c r="M29" s="9">
        <v>46183</v>
      </c>
      <c r="N29" s="6"/>
    </row>
    <row r="30" spans="1:14" ht="42" x14ac:dyDescent="0.2">
      <c r="A30" s="5">
        <v>26</v>
      </c>
      <c r="B30" s="6" t="s">
        <v>132</v>
      </c>
      <c r="C30" s="6" t="s">
        <v>120</v>
      </c>
      <c r="D30" s="6" t="s">
        <v>133</v>
      </c>
      <c r="E30" s="6" t="s">
        <v>134</v>
      </c>
      <c r="F30" s="6" t="s">
        <v>135</v>
      </c>
      <c r="G30" s="6" t="s">
        <v>136</v>
      </c>
      <c r="H30" s="6" t="s">
        <v>137</v>
      </c>
      <c r="I30" s="6" t="s">
        <v>21</v>
      </c>
      <c r="J30" s="7" t="s">
        <v>22</v>
      </c>
      <c r="K30" s="8" t="s">
        <v>23</v>
      </c>
      <c r="L30" s="6" t="s">
        <v>223</v>
      </c>
      <c r="M30" s="9">
        <v>46183</v>
      </c>
      <c r="N30" s="6"/>
    </row>
    <row r="31" spans="1:14" ht="42" x14ac:dyDescent="0.2">
      <c r="A31" s="5">
        <v>27</v>
      </c>
      <c r="B31" s="6" t="s">
        <v>138</v>
      </c>
      <c r="C31" s="6" t="s">
        <v>120</v>
      </c>
      <c r="D31" s="6" t="s">
        <v>139</v>
      </c>
      <c r="E31" s="6" t="s">
        <v>140</v>
      </c>
      <c r="F31" s="6" t="s">
        <v>141</v>
      </c>
      <c r="G31" s="6" t="s">
        <v>142</v>
      </c>
      <c r="H31" s="6" t="s">
        <v>143</v>
      </c>
      <c r="I31" s="6" t="s">
        <v>21</v>
      </c>
      <c r="J31" s="7" t="s">
        <v>22</v>
      </c>
      <c r="K31" s="8" t="s">
        <v>23</v>
      </c>
      <c r="L31" s="6" t="s">
        <v>223</v>
      </c>
      <c r="M31" s="9">
        <v>46183</v>
      </c>
      <c r="N31" s="6"/>
    </row>
    <row r="32" spans="1:14" ht="42" x14ac:dyDescent="0.2">
      <c r="A32" s="5">
        <v>28</v>
      </c>
      <c r="B32" s="6" t="s">
        <v>144</v>
      </c>
      <c r="C32" s="6" t="s">
        <v>120</v>
      </c>
      <c r="D32" s="6" t="s">
        <v>145</v>
      </c>
      <c r="E32" s="6" t="s">
        <v>146</v>
      </c>
      <c r="F32" s="6" t="s">
        <v>147</v>
      </c>
      <c r="G32" s="6" t="s">
        <v>148</v>
      </c>
      <c r="H32" s="6" t="s">
        <v>149</v>
      </c>
      <c r="I32" s="6" t="s">
        <v>21</v>
      </c>
      <c r="J32" s="7" t="s">
        <v>22</v>
      </c>
      <c r="K32" s="8" t="s">
        <v>41</v>
      </c>
      <c r="L32" s="6" t="s">
        <v>223</v>
      </c>
      <c r="M32" s="9">
        <v>46183</v>
      </c>
      <c r="N32" s="6"/>
    </row>
    <row r="33" spans="1:14" ht="70" x14ac:dyDescent="0.2">
      <c r="A33" s="5">
        <v>29</v>
      </c>
      <c r="B33" s="6" t="s">
        <v>298</v>
      </c>
      <c r="C33" s="6" t="s">
        <v>120</v>
      </c>
      <c r="D33" s="6" t="s">
        <v>299</v>
      </c>
      <c r="E33" s="6" t="s">
        <v>300</v>
      </c>
      <c r="F33" s="6" t="s">
        <v>301</v>
      </c>
      <c r="G33" s="6" t="s">
        <v>302</v>
      </c>
      <c r="H33" s="6" t="s">
        <v>303</v>
      </c>
      <c r="I33" s="6" t="s">
        <v>304</v>
      </c>
      <c r="J33" s="10" t="s">
        <v>213</v>
      </c>
      <c r="K33" s="8" t="s">
        <v>41</v>
      </c>
      <c r="L33" s="6" t="s">
        <v>24</v>
      </c>
      <c r="M33" s="6" t="s">
        <v>25</v>
      </c>
      <c r="N33" s="6" t="s">
        <v>305</v>
      </c>
    </row>
    <row r="34" spans="1:14" ht="56" x14ac:dyDescent="0.2">
      <c r="A34" s="5">
        <v>30</v>
      </c>
      <c r="B34" s="6" t="s">
        <v>150</v>
      </c>
      <c r="C34" s="6" t="s">
        <v>151</v>
      </c>
      <c r="D34" s="6" t="s">
        <v>152</v>
      </c>
      <c r="E34" s="6" t="s">
        <v>153</v>
      </c>
      <c r="F34" s="6" t="s">
        <v>154</v>
      </c>
      <c r="G34" s="6" t="s">
        <v>155</v>
      </c>
      <c r="H34" s="6" t="s">
        <v>156</v>
      </c>
      <c r="I34" s="6" t="s">
        <v>21</v>
      </c>
      <c r="J34" s="7" t="s">
        <v>22</v>
      </c>
      <c r="K34" s="8" t="s">
        <v>23</v>
      </c>
      <c r="L34" s="6" t="s">
        <v>223</v>
      </c>
      <c r="M34" s="9">
        <v>46183</v>
      </c>
      <c r="N34" s="6"/>
    </row>
    <row r="35" spans="1:14" ht="56" x14ac:dyDescent="0.2">
      <c r="A35" s="5">
        <v>31</v>
      </c>
      <c r="B35" s="6" t="s">
        <v>157</v>
      </c>
      <c r="C35" s="6" t="s">
        <v>151</v>
      </c>
      <c r="D35" s="6" t="s">
        <v>158</v>
      </c>
      <c r="E35" s="6" t="s">
        <v>159</v>
      </c>
      <c r="F35" s="6" t="s">
        <v>160</v>
      </c>
      <c r="G35" s="6" t="s">
        <v>161</v>
      </c>
      <c r="H35" s="6" t="s">
        <v>162</v>
      </c>
      <c r="I35" s="6" t="s">
        <v>21</v>
      </c>
      <c r="J35" s="7" t="s">
        <v>22</v>
      </c>
      <c r="K35" s="8" t="s">
        <v>41</v>
      </c>
      <c r="L35" s="6" t="s">
        <v>223</v>
      </c>
      <c r="M35" s="9">
        <v>46183</v>
      </c>
      <c r="N35" s="6"/>
    </row>
    <row r="36" spans="1:14" ht="42" x14ac:dyDescent="0.2">
      <c r="A36" s="5">
        <v>32</v>
      </c>
      <c r="B36" s="6" t="s">
        <v>163</v>
      </c>
      <c r="C36" s="6" t="s">
        <v>151</v>
      </c>
      <c r="D36" s="6" t="s">
        <v>164</v>
      </c>
      <c r="E36" s="6" t="s">
        <v>165</v>
      </c>
      <c r="F36" s="6" t="s">
        <v>166</v>
      </c>
      <c r="G36" s="6" t="s">
        <v>167</v>
      </c>
      <c r="H36" s="6" t="s">
        <v>168</v>
      </c>
      <c r="I36" s="6" t="s">
        <v>21</v>
      </c>
      <c r="J36" s="7" t="s">
        <v>22</v>
      </c>
      <c r="K36" s="8" t="s">
        <v>23</v>
      </c>
      <c r="L36" s="6" t="s">
        <v>223</v>
      </c>
      <c r="M36" s="9">
        <v>46183</v>
      </c>
      <c r="N36" s="6"/>
    </row>
    <row r="37" spans="1:14" ht="42" x14ac:dyDescent="0.2">
      <c r="A37" s="5">
        <v>33</v>
      </c>
      <c r="B37" s="6" t="s">
        <v>169</v>
      </c>
      <c r="C37" s="6" t="s">
        <v>151</v>
      </c>
      <c r="D37" s="6" t="s">
        <v>170</v>
      </c>
      <c r="E37" s="6" t="s">
        <v>165</v>
      </c>
      <c r="F37" s="6" t="s">
        <v>171</v>
      </c>
      <c r="G37" s="6" t="s">
        <v>172</v>
      </c>
      <c r="H37" s="6" t="s">
        <v>173</v>
      </c>
      <c r="I37" s="6" t="s">
        <v>21</v>
      </c>
      <c r="J37" s="7" t="s">
        <v>22</v>
      </c>
      <c r="K37" s="8" t="s">
        <v>23</v>
      </c>
      <c r="L37" s="6" t="s">
        <v>223</v>
      </c>
      <c r="M37" s="9">
        <v>46183</v>
      </c>
      <c r="N37" s="6"/>
    </row>
    <row r="38" spans="1:14" ht="56" x14ac:dyDescent="0.2">
      <c r="A38" s="5">
        <v>34</v>
      </c>
      <c r="B38" s="6" t="s">
        <v>174</v>
      </c>
      <c r="C38" s="6" t="s">
        <v>151</v>
      </c>
      <c r="D38" s="6" t="s">
        <v>175</v>
      </c>
      <c r="E38" s="6" t="s">
        <v>176</v>
      </c>
      <c r="F38" s="6" t="s">
        <v>177</v>
      </c>
      <c r="G38" s="6" t="s">
        <v>178</v>
      </c>
      <c r="H38" s="6" t="s">
        <v>179</v>
      </c>
      <c r="I38" s="6" t="s">
        <v>21</v>
      </c>
      <c r="J38" s="7" t="s">
        <v>22</v>
      </c>
      <c r="K38" s="8" t="s">
        <v>23</v>
      </c>
      <c r="L38" s="6" t="s">
        <v>223</v>
      </c>
      <c r="M38" s="9">
        <v>46183</v>
      </c>
      <c r="N38" s="6"/>
    </row>
    <row r="39" spans="1:14" ht="84" x14ac:dyDescent="0.2">
      <c r="A39" s="5">
        <v>35</v>
      </c>
      <c r="B39" s="6" t="s">
        <v>180</v>
      </c>
      <c r="C39" s="6" t="s">
        <v>181</v>
      </c>
      <c r="D39" s="6" t="s">
        <v>182</v>
      </c>
      <c r="E39" s="6" t="s">
        <v>183</v>
      </c>
      <c r="F39" s="6" t="s">
        <v>184</v>
      </c>
      <c r="G39" s="6" t="s">
        <v>185</v>
      </c>
      <c r="H39" s="6" t="s">
        <v>186</v>
      </c>
      <c r="I39" s="6" t="s">
        <v>21</v>
      </c>
      <c r="J39" s="7" t="s">
        <v>22</v>
      </c>
      <c r="K39" s="8" t="s">
        <v>23</v>
      </c>
      <c r="L39" s="6" t="s">
        <v>223</v>
      </c>
      <c r="M39" s="9">
        <v>46183</v>
      </c>
      <c r="N39" s="6"/>
    </row>
    <row r="40" spans="1:14" ht="56" x14ac:dyDescent="0.2">
      <c r="A40" s="5">
        <v>36</v>
      </c>
      <c r="B40" s="6" t="s">
        <v>187</v>
      </c>
      <c r="C40" s="6" t="s">
        <v>181</v>
      </c>
      <c r="D40" s="6" t="s">
        <v>188</v>
      </c>
      <c r="E40" s="6" t="s">
        <v>189</v>
      </c>
      <c r="F40" s="6" t="s">
        <v>190</v>
      </c>
      <c r="G40" s="6" t="s">
        <v>191</v>
      </c>
      <c r="H40" s="6" t="s">
        <v>192</v>
      </c>
      <c r="I40" s="6" t="s">
        <v>21</v>
      </c>
      <c r="J40" s="7" t="s">
        <v>22</v>
      </c>
      <c r="K40" s="8" t="s">
        <v>41</v>
      </c>
      <c r="L40" s="6" t="s">
        <v>223</v>
      </c>
      <c r="M40" s="9">
        <v>46183</v>
      </c>
      <c r="N40" s="6"/>
    </row>
    <row r="41" spans="1:14" ht="56" x14ac:dyDescent="0.2">
      <c r="A41" s="5">
        <v>37</v>
      </c>
      <c r="B41" s="6" t="s">
        <v>193</v>
      </c>
      <c r="C41" s="6" t="s">
        <v>181</v>
      </c>
      <c r="D41" s="6" t="s">
        <v>194</v>
      </c>
      <c r="E41" s="6" t="s">
        <v>195</v>
      </c>
      <c r="F41" s="6" t="s">
        <v>196</v>
      </c>
      <c r="G41" s="6" t="s">
        <v>197</v>
      </c>
      <c r="H41" s="6" t="s">
        <v>198</v>
      </c>
      <c r="I41" s="6" t="s">
        <v>21</v>
      </c>
      <c r="J41" s="7" t="s">
        <v>22</v>
      </c>
      <c r="K41" s="8" t="s">
        <v>23</v>
      </c>
      <c r="L41" s="6" t="s">
        <v>223</v>
      </c>
      <c r="M41" s="9">
        <v>46183</v>
      </c>
      <c r="N41" s="6"/>
    </row>
    <row r="42" spans="1:14" ht="70" x14ac:dyDescent="0.2">
      <c r="A42" s="5">
        <v>38</v>
      </c>
      <c r="B42" s="6" t="s">
        <v>199</v>
      </c>
      <c r="C42" s="6" t="s">
        <v>181</v>
      </c>
      <c r="D42" s="6" t="s">
        <v>200</v>
      </c>
      <c r="E42" s="6" t="s">
        <v>201</v>
      </c>
      <c r="F42" s="6" t="s">
        <v>202</v>
      </c>
      <c r="G42" s="6" t="s">
        <v>203</v>
      </c>
      <c r="H42" s="6" t="s">
        <v>204</v>
      </c>
      <c r="I42" s="6" t="s">
        <v>21</v>
      </c>
      <c r="J42" s="7" t="s">
        <v>22</v>
      </c>
      <c r="K42" s="8" t="s">
        <v>23</v>
      </c>
      <c r="L42" s="6" t="s">
        <v>223</v>
      </c>
      <c r="M42" s="9">
        <v>46183</v>
      </c>
      <c r="N42" s="6"/>
    </row>
    <row r="43" spans="1:14" ht="70" x14ac:dyDescent="0.2">
      <c r="A43" s="5">
        <v>39</v>
      </c>
      <c r="B43" s="6" t="s">
        <v>205</v>
      </c>
      <c r="C43" s="6" t="s">
        <v>181</v>
      </c>
      <c r="D43" s="6" t="s">
        <v>206</v>
      </c>
      <c r="E43" s="6" t="s">
        <v>207</v>
      </c>
      <c r="F43" s="6" t="s">
        <v>208</v>
      </c>
      <c r="G43" s="6" t="s">
        <v>209</v>
      </c>
      <c r="H43" s="6" t="s">
        <v>210</v>
      </c>
      <c r="I43" s="6" t="s">
        <v>21</v>
      </c>
      <c r="J43" s="7" t="s">
        <v>22</v>
      </c>
      <c r="K43" s="8" t="s">
        <v>41</v>
      </c>
      <c r="L43" s="6" t="s">
        <v>223</v>
      </c>
      <c r="M43" s="9">
        <v>46183</v>
      </c>
      <c r="N43" s="6"/>
    </row>
    <row r="44" spans="1:14" ht="70" x14ac:dyDescent="0.2">
      <c r="A44" s="5">
        <v>40</v>
      </c>
      <c r="B44" s="6" t="s">
        <v>241</v>
      </c>
      <c r="C44" s="6" t="s">
        <v>181</v>
      </c>
      <c r="D44" s="6" t="s">
        <v>242</v>
      </c>
      <c r="E44" s="6" t="s">
        <v>243</v>
      </c>
      <c r="F44" s="6" t="s">
        <v>244</v>
      </c>
      <c r="G44" s="6" t="s">
        <v>245</v>
      </c>
      <c r="H44" s="6" t="s">
        <v>246</v>
      </c>
      <c r="I44" s="6" t="s">
        <v>247</v>
      </c>
      <c r="J44" s="10" t="s">
        <v>213</v>
      </c>
      <c r="K44" s="8" t="s">
        <v>23</v>
      </c>
      <c r="L44" s="6" t="s">
        <v>273</v>
      </c>
      <c r="M44" s="9">
        <v>46183</v>
      </c>
      <c r="N44" s="6" t="s">
        <v>248</v>
      </c>
    </row>
    <row r="45" spans="1:14" ht="70" x14ac:dyDescent="0.2">
      <c r="A45" s="5">
        <v>41</v>
      </c>
      <c r="B45" s="6" t="s">
        <v>249</v>
      </c>
      <c r="C45" s="6" t="s">
        <v>181</v>
      </c>
      <c r="D45" s="6" t="s">
        <v>250</v>
      </c>
      <c r="E45" s="6" t="s">
        <v>251</v>
      </c>
      <c r="F45" s="6" t="s">
        <v>252</v>
      </c>
      <c r="G45" s="6" t="s">
        <v>253</v>
      </c>
      <c r="H45" s="6" t="s">
        <v>254</v>
      </c>
      <c r="I45" s="6" t="s">
        <v>255</v>
      </c>
      <c r="J45" s="10" t="s">
        <v>213</v>
      </c>
      <c r="K45" s="8" t="s">
        <v>23</v>
      </c>
      <c r="L45" s="6" t="s">
        <v>273</v>
      </c>
      <c r="M45" s="9">
        <v>46183</v>
      </c>
      <c r="N45" s="6" t="s">
        <v>256</v>
      </c>
    </row>
    <row r="46" spans="1:14" ht="56" x14ac:dyDescent="0.2">
      <c r="A46" s="5">
        <v>42</v>
      </c>
      <c r="B46" s="6" t="s">
        <v>257</v>
      </c>
      <c r="C46" s="6" t="s">
        <v>181</v>
      </c>
      <c r="D46" s="6" t="s">
        <v>258</v>
      </c>
      <c r="E46" s="6" t="s">
        <v>259</v>
      </c>
      <c r="F46" s="6" t="s">
        <v>260</v>
      </c>
      <c r="G46" s="6" t="s">
        <v>261</v>
      </c>
      <c r="H46" s="6" t="s">
        <v>262</v>
      </c>
      <c r="I46" s="6" t="s">
        <v>263</v>
      </c>
      <c r="J46" s="10" t="s">
        <v>213</v>
      </c>
      <c r="K46" s="8" t="s">
        <v>41</v>
      </c>
      <c r="L46" s="6" t="s">
        <v>273</v>
      </c>
      <c r="M46" s="9">
        <v>46183</v>
      </c>
      <c r="N46" s="6" t="s">
        <v>264</v>
      </c>
    </row>
    <row r="47" spans="1:14" ht="70" x14ac:dyDescent="0.2">
      <c r="A47" s="5">
        <v>43</v>
      </c>
      <c r="B47" s="6" t="s">
        <v>265</v>
      </c>
      <c r="C47" s="6" t="s">
        <v>181</v>
      </c>
      <c r="D47" s="6" t="s">
        <v>266</v>
      </c>
      <c r="E47" s="6" t="s">
        <v>267</v>
      </c>
      <c r="F47" s="6" t="s">
        <v>268</v>
      </c>
      <c r="G47" s="6" t="s">
        <v>269</v>
      </c>
      <c r="H47" s="6" t="s">
        <v>270</v>
      </c>
      <c r="I47" s="6" t="s">
        <v>271</v>
      </c>
      <c r="J47" s="10" t="s">
        <v>213</v>
      </c>
      <c r="K47" s="8" t="s">
        <v>41</v>
      </c>
      <c r="L47" s="6" t="s">
        <v>273</v>
      </c>
      <c r="M47" s="9">
        <v>46183</v>
      </c>
      <c r="N47" s="6" t="s">
        <v>272</v>
      </c>
    </row>
  </sheetData>
  <autoFilter ref="A4:N43" xr:uid="{00000000-0009-0000-0000-000000000000}"/>
  <mergeCells count="2">
    <mergeCell ref="A1:N1"/>
    <mergeCell ref="A2:N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tabSelected="1" zoomScaleNormal="100" workbookViewId="0">
      <selection activeCell="D17" sqref="D17"/>
    </sheetView>
  </sheetViews>
  <sheetFormatPr baseColWidth="10" defaultColWidth="8.6640625" defaultRowHeight="15" x14ac:dyDescent="0.2"/>
  <cols>
    <col min="1" max="1" width="28" customWidth="1"/>
    <col min="2" max="2" width="18" customWidth="1"/>
    <col min="3" max="4" width="10" customWidth="1"/>
    <col min="5" max="5" width="15.33203125" style="11" customWidth="1"/>
  </cols>
  <sheetData>
    <row r="1" spans="1:5" ht="18" x14ac:dyDescent="0.2">
      <c r="A1" s="15" t="s">
        <v>211</v>
      </c>
      <c r="B1" s="15"/>
      <c r="C1" s="15"/>
      <c r="D1" s="15"/>
      <c r="E1" s="16"/>
    </row>
    <row r="2" spans="1:5" x14ac:dyDescent="0.2">
      <c r="E2" s="17"/>
    </row>
    <row r="3" spans="1:5" x14ac:dyDescent="0.2">
      <c r="A3" s="18" t="s">
        <v>3</v>
      </c>
      <c r="B3" s="18" t="s">
        <v>212</v>
      </c>
      <c r="C3" s="18" t="s">
        <v>22</v>
      </c>
      <c r="D3" s="19" t="s">
        <v>213</v>
      </c>
      <c r="E3" s="20" t="s">
        <v>306</v>
      </c>
    </row>
    <row r="4" spans="1:5" x14ac:dyDescent="0.2">
      <c r="A4" s="12" t="s">
        <v>15</v>
      </c>
      <c r="B4" s="13">
        <f>COUNTIF('Báo cáo kiểm thử'!C5:C43,A4)</f>
        <v>5</v>
      </c>
      <c r="C4" s="13">
        <f>COUNTIFS('Báo cáo kiểm thử'!C5:C43,A4,'Báo cáo kiểm thử'!J5:J43,"Pass")</f>
        <v>5</v>
      </c>
      <c r="D4" s="13">
        <f t="shared" ref="D4:D10" si="0">B4-C4</f>
        <v>0</v>
      </c>
      <c r="E4" s="21">
        <f>C4/B4</f>
        <v>1</v>
      </c>
    </row>
    <row r="5" spans="1:5" x14ac:dyDescent="0.2">
      <c r="A5" s="12" t="s">
        <v>46</v>
      </c>
      <c r="B5" s="13">
        <f>COUNTIF('Báo cáo kiểm thử'!C5:C43,A5)</f>
        <v>7</v>
      </c>
      <c r="C5" s="13">
        <f>COUNTIFS('Báo cáo kiểm thử'!C5:C43,A5,'Báo cáo kiểm thử'!J5:J43,"Pass")</f>
        <v>5</v>
      </c>
      <c r="D5" s="13">
        <f t="shared" si="0"/>
        <v>2</v>
      </c>
      <c r="E5" s="21">
        <f>C4/B4</f>
        <v>1</v>
      </c>
    </row>
    <row r="6" spans="1:5" x14ac:dyDescent="0.2">
      <c r="A6" s="12" t="s">
        <v>68</v>
      </c>
      <c r="B6" s="13">
        <f>COUNTIF('Báo cáo kiểm thử'!C5:C43,A6)</f>
        <v>6</v>
      </c>
      <c r="C6" s="13">
        <f>COUNTIFS('Báo cáo kiểm thử'!C5:C43,A6,'Báo cáo kiểm thử'!J5:J43,"Pass")</f>
        <v>5</v>
      </c>
      <c r="D6" s="13">
        <f t="shared" si="0"/>
        <v>1</v>
      </c>
      <c r="E6" s="21">
        <f t="shared" ref="E6:E11" si="1">C5/B5</f>
        <v>0.7142857142857143</v>
      </c>
    </row>
    <row r="7" spans="1:5" x14ac:dyDescent="0.2">
      <c r="A7" s="12" t="s">
        <v>94</v>
      </c>
      <c r="B7" s="13">
        <f>COUNTIF('Báo cáo kiểm thử'!C5:C43,A7)</f>
        <v>5</v>
      </c>
      <c r="C7" s="13">
        <f>COUNTIFS('Báo cáo kiểm thử'!C5:C43,A7,'Báo cáo kiểm thử'!J5:J43,"Pass")</f>
        <v>5</v>
      </c>
      <c r="D7" s="13">
        <f t="shared" si="0"/>
        <v>0</v>
      </c>
      <c r="E7" s="21">
        <f t="shared" si="1"/>
        <v>0.83333333333333337</v>
      </c>
    </row>
    <row r="8" spans="1:5" x14ac:dyDescent="0.2">
      <c r="A8" s="12" t="s">
        <v>120</v>
      </c>
      <c r="B8" s="13">
        <f>COUNTIF('Báo cáo kiểm thử'!C5:C43,A8)</f>
        <v>6</v>
      </c>
      <c r="C8" s="13">
        <f>COUNTIFS('Báo cáo kiểm thử'!C5:C43,A8,'Báo cáo kiểm thử'!J5:J43,"Pass")</f>
        <v>5</v>
      </c>
      <c r="D8" s="13">
        <f t="shared" si="0"/>
        <v>1</v>
      </c>
      <c r="E8" s="21">
        <f t="shared" si="1"/>
        <v>1</v>
      </c>
    </row>
    <row r="9" spans="1:5" x14ac:dyDescent="0.2">
      <c r="A9" s="12" t="s">
        <v>151</v>
      </c>
      <c r="B9" s="13">
        <f>COUNTIF('Báo cáo kiểm thử'!C5:C43,A9)</f>
        <v>5</v>
      </c>
      <c r="C9" s="13">
        <f>COUNTIFS('Báo cáo kiểm thử'!C5:C43,A9,'Báo cáo kiểm thử'!J5:J43,"Pass")</f>
        <v>5</v>
      </c>
      <c r="D9" s="13">
        <f t="shared" si="0"/>
        <v>0</v>
      </c>
      <c r="E9" s="21">
        <f t="shared" si="1"/>
        <v>0.83333333333333337</v>
      </c>
    </row>
    <row r="10" spans="1:5" x14ac:dyDescent="0.2">
      <c r="A10" s="12" t="s">
        <v>181</v>
      </c>
      <c r="B10" s="13">
        <v>9</v>
      </c>
      <c r="C10" s="13">
        <v>5</v>
      </c>
      <c r="D10" s="13">
        <f t="shared" si="0"/>
        <v>4</v>
      </c>
      <c r="E10" s="21">
        <f t="shared" si="1"/>
        <v>1</v>
      </c>
    </row>
    <row r="11" spans="1:5" x14ac:dyDescent="0.2">
      <c r="A11" s="14" t="s">
        <v>214</v>
      </c>
      <c r="B11" s="23">
        <f>SUM(B4:B10)</f>
        <v>43</v>
      </c>
      <c r="C11" s="23">
        <f>SUM(C4:C10)</f>
        <v>35</v>
      </c>
      <c r="D11" s="23">
        <f>SUM(D4:D10)</f>
        <v>8</v>
      </c>
      <c r="E11" s="22">
        <f t="shared" si="1"/>
        <v>0.55555555555555558</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Báo cáo kiểm thử</vt:lpstr>
      <vt:lpstr>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Nguyen Minh Nguyet</cp:lastModifiedBy>
  <cp:revision>0</cp:revision>
  <dcterms:created xsi:type="dcterms:W3CDTF">2026-06-20T07:05:01Z</dcterms:created>
  <dcterms:modified xsi:type="dcterms:W3CDTF">2026-06-20T08:37:56Z</dcterms:modified>
  <dc:language>en-US</dc:language>
</cp:coreProperties>
</file>