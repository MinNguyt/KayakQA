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3"/>
  <workbookPr/>
  <mc:AlternateContent xmlns:mc="http://schemas.openxmlformats.org/markup-compatibility/2006">
    <mc:Choice Requires="x15">
      <x15ac:absPath xmlns:x15ac="http://schemas.microsoft.com/office/spreadsheetml/2010/11/ac" url="/Users/Embexinh/Downloads/"/>
    </mc:Choice>
  </mc:AlternateContent>
  <xr:revisionPtr revIDLastSave="0" documentId="13_ncr:1_{07D9C629-27A2-FB4B-BF8D-7636B2FA3EC4}" xr6:coauthVersionLast="47" xr6:coauthVersionMax="47" xr10:uidLastSave="{00000000-0000-0000-0000-000000000000}"/>
  <bookViews>
    <workbookView xWindow="0" yWindow="0" windowWidth="25600" windowHeight="16000" xr2:uid="{00000000-000D-0000-FFFF-FFFF00000000}"/>
  </bookViews>
  <sheets>
    <sheet name="Test Cases" sheetId="1" r:id="rId1"/>
    <sheet name="Tổng hợp"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2" l="1"/>
  <c r="E9" i="2"/>
  <c r="D9" i="2"/>
  <c r="C9" i="2"/>
  <c r="F8" i="2"/>
  <c r="F7" i="2"/>
  <c r="F6" i="2"/>
  <c r="F5" i="2"/>
  <c r="F4" i="2"/>
  <c r="F3" i="2"/>
  <c r="F2" i="2"/>
</calcChain>
</file>

<file path=xl/sharedStrings.xml><?xml version="1.0" encoding="utf-8"?>
<sst xmlns="http://schemas.openxmlformats.org/spreadsheetml/2006/main" count="434" uniqueCount="313">
  <si>
    <t>ID</t>
  </si>
  <si>
    <t>Mô tả</t>
  </si>
  <si>
    <t>Điều kiện tiên quyết</t>
  </si>
  <si>
    <t>Dữ liệu đầu vào</t>
  </si>
  <si>
    <t>Bước thực hiện</t>
  </si>
  <si>
    <t>Kết quả mong đợi</t>
  </si>
  <si>
    <t>Kết quả thực tế</t>
  </si>
  <si>
    <t>Mức ưu tiên</t>
  </si>
  <si>
    <t>Trạng thái</t>
  </si>
  <si>
    <t>UC1 – Login (Đăng nhập hệ thống)</t>
  </si>
  <si>
    <t>TC_LOGIN_001</t>
  </si>
  <si>
    <t>Đăng nhập thành công</t>
  </si>
  <si>
    <t>Tài khoản đã đăng ký, còn hiệu lực (chưa khóa, chưa hết hạn)</t>
  </si>
  <si>
    <t>Email: manager@example.com
Mật khẩu: hợp lệ</t>
  </si>
  <si>
    <t>1. Truy cập trang đăng nhập
2. Nhập email và mật khẩu hợp lệ
3. Nhấn: Đăng nhập</t>
  </si>
  <si>
    <t>Đăng nhập thành công, chuyển đến giao diện tương ứng với vai trò, phiên làm việc được khởi tạo</t>
  </si>
  <si>
    <t>Đạt yêu cầu như kỳ vọng</t>
  </si>
  <si>
    <t>Cao</t>
  </si>
  <si>
    <t>Pass</t>
  </si>
  <si>
    <t>TC_LOGIN_002</t>
  </si>
  <si>
    <t>Đăng nhập sai mật khẩu</t>
  </si>
  <si>
    <t>Tài khoản đã đăng ký, còn hiệu lực</t>
  </si>
  <si>
    <t>Email: manager@example.com
Mật khẩu: sai</t>
  </si>
  <si>
    <t>1. Truy cập trang đăng nhập
2. Nhập email đúng, mật khẩu sai
3. Nhấn: Đăng nhập</t>
  </si>
  <si>
    <t>Hệ thống hiển thị thông báo lỗi "Email hoặc mật khẩu không đúng", không chuyển hướng, không tạo phiên làm việc</t>
  </si>
  <si>
    <t>TC_LOGIN_003</t>
  </si>
  <si>
    <t>Đăng nhập với tài khoản bị khóa</t>
  </si>
  <si>
    <t>Tài khoản tồn tại nhưng đã bị khóa</t>
  </si>
  <si>
    <t>Email: lockeduser@example.com
Mật khẩu: đúng</t>
  </si>
  <si>
    <t>1. Truy cập trang đăng nhập
2. Nhập đúng email/mật khẩu của tài khoản bị khóa
3. Nhấn: Đăng nhập</t>
  </si>
  <si>
    <t>Hệ thống từ chối truy cập, hiển thị thông báo "Tài khoản đã bị khóa", không cho vào hệ thống</t>
  </si>
  <si>
    <t>TC_LOGIN_004</t>
  </si>
  <si>
    <t>Bỏ trống các trường bắt buộc</t>
  </si>
  <si>
    <t>Không yêu cầu tài khoản cụ thể</t>
  </si>
  <si>
    <t>Email: để trống
Mật khẩu: để trống</t>
  </si>
  <si>
    <t>1. Truy cập trang đăng nhập
2. Không nhập gì vào 2 trường
3. Nhấn: Đăng nhập</t>
  </si>
  <si>
    <t>Hệ thống hiển thị cảnh báo validation tại các trường bắt buộc, không gửi yêu cầu lên server</t>
  </si>
  <si>
    <t>Trung bình</t>
  </si>
  <si>
    <t>TC_LOGIN_005</t>
  </si>
  <si>
    <t>Nhập email sai định dạng</t>
  </si>
  <si>
    <t>Email: userexample.com (thiếu @)
Mật khẩu: bất kỳ</t>
  </si>
  <si>
    <t>1. Truy cập trang đăng nhập
2. Nhập email sai định dạng
3. Nhấn: Đăng nhập</t>
  </si>
  <si>
    <t>Hệ thống hiển thị lỗi định dạng email ngay tại trường nhập, không gửi yêu cầu</t>
  </si>
  <si>
    <t>UC2 – Manage Company (Quản lý nhà xe)</t>
  </si>
  <si>
    <t>TC_MANAGE_COMPANY_001</t>
  </si>
  <si>
    <t>Thêm mới nhà xe thành công</t>
  </si>
  <si>
    <t>Admin đã đăng nhập, có phiên làm việc hợp lệ</t>
  </si>
  <si>
    <t>Tên nhà xe: Mai Linh
Hotline: 0909123456
Email: mailinh@example.com
Các trường khác hợp lệ, chưa tồn tại</t>
  </si>
  <si>
    <t>1. Truy cập menu Quản lý nhà xe
2. Chọn Thêm mới
3. Nhập đầy đủ thông tin hợp lệ
4. Nhấn Xác nhận</t>
  </si>
  <si>
    <t>Hệ thống lưu thông tin nhà xe vào database, hiển thị thông báo thành công, danh sách được cập nhật và đồng bộ lên giao diện khách hàng</t>
  </si>
  <si>
    <t>TC_MANAGE_COMPANY_002</t>
  </si>
  <si>
    <t>Thêm mới nhà xe với tên đã tồn tại</t>
  </si>
  <si>
    <t>Admin đã đăng nhập; trên hệ thống đã tồn tại nhà xe có tên Mai Linh</t>
  </si>
  <si>
    <t>Tên nhà xe: Phương Trang (trùng)
Hotline/email khác</t>
  </si>
  <si>
    <t>1. Truy cập menu Quản lý nhà xe
2. Chọn Thêm mới
3. Nhập tên nhà xe đã tồn tại
4. Nhấn Xác nhận</t>
  </si>
  <si>
    <t>Hệ thống từ chối lưu, hiển thị thông báo lỗi trùng lặp dữ liệu</t>
  </si>
  <si>
    <t>TC_MANAGE_COMPANY_003</t>
  </si>
  <si>
    <t>Để trống các trường bắt buộc khi thêm/sửa nhà xe</t>
  </si>
  <si>
    <t>Admin đã đăng nhập</t>
  </si>
  <si>
    <t>Tên nhà xe: để trống
Hotline: để trống</t>
  </si>
  <si>
    <t>1. Truy cập menu Quản lý nhà xe
2. Chọn Thêm mới
3. Bỏ trống Tên nhà xe và Hotline
4. Nhấn Xác nhận</t>
  </si>
  <si>
    <t>Hệ thống từ chối lưu, hiển thị cảnh báo lỗi màu đỏ tại các trường bắt buộc đang trống</t>
  </si>
  <si>
    <t>TC_MANAGE_COMPANY_004</t>
  </si>
  <si>
    <t>Xóa nhà xe đang có chuyến xe hoạt động</t>
  </si>
  <si>
    <t>Admin đã đăng nhập; tồn tại nhà xe đang có chuyến xe hoạt động hoặc vé khách đang chờ khởi hành</t>
  </si>
  <si>
    <t>Chọn nhà xe có ràng buộc dữ liệu liên quan (chuyến/vé)</t>
  </si>
  <si>
    <t>1. Truy cập menu Quản lý nhà xe
2. Chọn nhà xe đang vận hành
3. Nhấn Xóa
4. Xác nhận thao tác</t>
  </si>
  <si>
    <t>Hệ thống chặn thao tác xóa, hiển thị thông báo yêu cầu điều chuyển lịch trình trước khi xử lý</t>
  </si>
  <si>
    <t>TC_MANAGE_COMPANY_005</t>
  </si>
  <si>
    <t>Tìm kiếm nhà xe theo từ khóa</t>
  </si>
  <si>
    <t>Admin đã đăng nhập; hệ thống có sẵn danh sách nhà xe</t>
  </si>
  <si>
    <t>Từ khóa tìm kiếm: Mai Linh hoặc số điện thoại 0909123456</t>
  </si>
  <si>
    <t>1. Truy cập menu Quản lý nhà xe
2. Nhập từ khóa vào thanh tìm kiếm</t>
  </si>
  <si>
    <t>Hệ thống lọc và trả về kết quả phù hợp theo thời gian thực (real-time)</t>
  </si>
  <si>
    <t>TC_MANAGE_COMPANY_006</t>
  </si>
  <si>
    <t>Sửa thông tin nhà xe - kiểm tra đồng bộ giao diện</t>
  </si>
  <si>
    <t>Admin đã đăng nhập; nhà xe đang hiển thị thông tin cũ trên giao diện khách hàng</t>
  </si>
  <si>
    <t>Hotline mới: 0911222333 (thay cho hotline cũ)</t>
  </si>
  <si>
    <t>1. Truy cập Quản lý nhà xe
2. Chọn nhà xe cần sửa
3. Cập nhật Hotline mới
4. Nhấn Xác nhận
5. Mở giao diện khách hàng kiểm tra ngay lập tức</t>
  </si>
  <si>
    <t>Thông tin Hotline mới được đồng bộ và hiển thị ngay lập tức trên giao diện khách hàng</t>
  </si>
  <si>
    <t>Giao diện khách hàng vẫn hiển thị hotline cũ trong vài phút do cơ chế cache chưa được làm mới (invalidate) sau khi cập nhật</t>
  </si>
  <si>
    <t>Fail</t>
  </si>
  <si>
    <t>TC_MANAGE_COMPANY_007</t>
  </si>
  <si>
    <t>Khóa nhà xe - kiểm tra ẩn chuyến xe trên giao diện khách</t>
  </si>
  <si>
    <t>Admin đã đăng nhập; nhà xe đang ở trạng thái "Đang hoạt động" và có các chuyến xe chưa khởi hành</t>
  </si>
  <si>
    <t>Nhà xe cần khóa: có các chuyến xe trong tương lai chưa khởi hành, chưa có vé bán</t>
  </si>
  <si>
    <t>1. Truy cập Quản lý nhà xe
2. Chọn nhà xe
3. Nhấn Khóa nhà xe
4. Xác nhận thao tác
5. Vào giao diện khách hàng tìm kiếm chuyến xe vừa khóa</t>
  </si>
  <si>
    <t>Sau khi khóa, toàn bộ chuyến xe của nhà xe đó phải bị ẩn khỏi kết quả tìm kiếm của khách hàng</t>
  </si>
  <si>
    <t>Chuyến xe của nhà xe đã bị khóa vẫn hiển thị và cho phép đặt vé trên giao diện khách hàng</t>
  </si>
  <si>
    <t>UC4 – Manage Routes (Quản lý tuyến đường)</t>
  </si>
  <si>
    <t>TC_MANAGE_ROUTES_001</t>
  </si>
  <si>
    <t>Thêm mới tuyến đường thành công</t>
  </si>
  <si>
    <t>Admin đã đăng nhập thành công</t>
  </si>
  <si>
    <t>Điểm đi: Hà Nội
Điểm đến: Đà Nẵng
Khoảng cách: 780km
Các trường khác hợp lệ, chưa tồn tại tuyến trùng</t>
  </si>
  <si>
    <t>1. Chọn Quản lý tuyến đường
2. Chọn Thêm mới
3. Nhập đầy đủ thông tin tuyến đường
4. Nhấn Lưu</t>
  </si>
  <si>
    <t>Hệ thống lưu tuyến đường mới vào database, hiển thị thông báo thành công, danh sách được cập nhật</t>
  </si>
  <si>
    <t>TC_MANAGE_ROUTES_002</t>
  </si>
  <si>
    <t>Thêm tuyến đường trùng điểm đi/điểm đến</t>
  </si>
  <si>
    <t>Admin đã đăng nhập; hệ thống đã có tuyến "Hà Nội - Đà Nẵng"</t>
  </si>
  <si>
    <t>Điểm đi: Hà Nội
Điểm đến: Đà Nẵng (trùng hoàn toàn)</t>
  </si>
  <si>
    <t>1. Chọn Quản lý tuyến đường
2. Chọn Thêm mới
3. Nhập điểm đi/điểm đến trùng tuyến hiện có
4. Nhấn Lưu</t>
  </si>
  <si>
    <t>Hệ thống báo lỗi "Tuyến đường này đã tồn tại", không lưu dữ liệu</t>
  </si>
  <si>
    <t>TC_MANAGE_ROUTES_003</t>
  </si>
  <si>
    <t>Xóa tuyến đường đang có lịch trình hoạt động hoặc vé đã bán</t>
  </si>
  <si>
    <t>Admin đã đăng nhập; tuyến đường đang có lịch trình hoặc vé đã bán chưa hoàn tất</t>
  </si>
  <si>
    <t>Chọn tuyến đường có ràng buộc dữ liệu liên quan</t>
  </si>
  <si>
    <t>1. Chọn Quản lý tuyến đường
2. Chọn tuyến đường đang hoạt động
3. Nhấn Xóa
4. Xác nhận</t>
  </si>
  <si>
    <t>Hệ thống thông báo lỗi không thể xóa tuyến đường đang có lịch trình hoạt động hoặc đơn đặt vé chưa hoàn tất</t>
  </si>
  <si>
    <t>TC_MANAGE_ROUTES_004</t>
  </si>
  <si>
    <t>Thay đổi trạng thái tuyến đường sang Tạm dừng đón khách</t>
  </si>
  <si>
    <t>Admin đã đăng nhập; tuyến đường đang ở trạng thái: Đang hoạt động</t>
  </si>
  <si>
    <t>Tuyến đường: Hà Nội - Đà Nẵng
Trạng thái mới: Tạm dừng đón khách</t>
  </si>
  <si>
    <t>1. Chọn Quản lý tuyến đường
2. Chọn tuyến đường cần đổi trạng thái
3. Chuyển trạng thái sang Tạm dừng đón khách
4. Lưu thay đổi</t>
  </si>
  <si>
    <t>Trạng thái tuyến được cập nhật, tuyến đường bị ẩn khỏi giao diện khách hàng, dữ liệu tuyến vẫn được giữ nguyên (không xóa)</t>
  </si>
  <si>
    <t>TC_MANAGE_ROUTES_005</t>
  </si>
  <si>
    <t>Sửa thông tin tuyến đường với dữ liệu để trống trường bắt buộc</t>
  </si>
  <si>
    <t>Admin đã đăng nhập; tuyến đường đã tồn tại trên hệ thống</t>
  </si>
  <si>
    <t>Điểm đi: để trống
Các trường khác giữ nguyên</t>
  </si>
  <si>
    <t>1. Chọn Quản lý tuyến đường
2. Chọn tuyến đường cần sửa
3. Xóa trống trường Điểm đi
4. Nhấn Lưu</t>
  </si>
  <si>
    <t>Hệ thống từ chối lưu, hiển thị cảnh báo lỗi validation tại trường Điểm đi</t>
  </si>
  <si>
    <t>TC_MANAGE_ROUTES_006</t>
  </si>
  <si>
    <t>Chuyển trạng thái Tạm dừng - kiểm tra ảnh hưởng chuyến đã lên lịch</t>
  </si>
  <si>
    <t>Admin đã đăng nhập; tuyến đường đang có các chuyến xe đã lên lịch trong tương lai</t>
  </si>
  <si>
    <t>Tuyến đường: Hà Nội - Đà Nẵng
Có 3 chuyến xe đã lên lịch chưa khởi hành</t>
  </si>
  <si>
    <t>1. Truy cập Quản lý tuyến đường
2. Chọn tuyến đang có chuyến xe đã lên lịch
3. Chuyển trạng thái sang Tạm dừng đón khách
4. Kiểm tra các chuyến xe đã lên lịch trên giao diện khách hàng</t>
  </si>
  <si>
    <t>Hệ thống cảnh báo cho Admin về các chuyến xe bị ảnh hưởng trước khi xác nhận; các chuyến đã có vé bán vẫn được khách hàng truy cập bình thường để hoàn tất hành trình</t>
  </si>
  <si>
    <t>Hệ thống không cảnh báo, đồng thời ẩn luôn cả những chuyến xe đã có khách mua vé, khiến khách hàng không thể xem lại thông tin vé/lịch trình của mình</t>
  </si>
  <si>
    <t>UC8 – Manage Tickets (Quản lý vé)</t>
  </si>
  <si>
    <t>TC_MANAGE_TICKETS_001</t>
  </si>
  <si>
    <t>Tìm kiếm vé theo mã vé thành công</t>
  </si>
  <si>
    <t>Admin đã đăng nhập; tồn tại đơn vé với mã đã biết trên hệ thống</t>
  </si>
  <si>
    <t>Mã vé: VE001234</t>
  </si>
  <si>
    <t>1. Chọn Quản lý vé
2. Nhập mã vé vào thanh tìm kiếm
3. Nhấn tìm kiếm</t>
  </si>
  <si>
    <t>Hệ thống trả về đúng thông tin đơn vé tương ứng với mã đã nhập</t>
  </si>
  <si>
    <t>TC_MANAGE_TICKETS_002</t>
  </si>
  <si>
    <t>Tìm kiếm với mã vé không tồn tại</t>
  </si>
  <si>
    <t>Mã vé: VE999999 (không tồn tại trên hệ thống)</t>
  </si>
  <si>
    <t>1. Chọn Quản lý vé
2. Nhập mã vé không tồn tại
3. Nhấn tìm kiếm</t>
  </si>
  <si>
    <t>Hệ thống trả về danh sách trống, hiển thị thông báo "Mã vé không tồn tại trên hệ thống"</t>
  </si>
  <si>
    <t>TC_MANAGE_TICKETS_003</t>
  </si>
  <si>
    <t>Cập nhật trạng thái vé (xác nhận hoàn tiền hủy vé)</t>
  </si>
  <si>
    <t>Admin đã đăng nhập; tồn tại vé ở trạng thái Đã thanh toán chưa khởi hành</t>
  </si>
  <si>
    <t>Mã vé hợp lệ; trạng thái mới: Đã hủy/Đã hoàn tiền</t>
  </si>
  <si>
    <t>1. Chọn Quản lý vé
2. Tìm và chọn vé cần xử lý
3. Cập nhật trạng thái thành Đã hoàn tiền
4. Xác nhận</t>
  </si>
  <si>
    <t>Hệ thống ghi nhận trạng thái mới, gửi email thông báo cập nhật cho khách hàng</t>
  </si>
  <si>
    <t>TC_MANAGE_TICKETS_004</t>
  </si>
  <si>
    <t>Đổi chuyến/điều chuyển vé cho khách</t>
  </si>
  <si>
    <t>Admin đã đăng nhập; vé hiện tại hợp lệ, chuyến mới còn ghế trống</t>
  </si>
  <si>
    <t>Mã vé cũ; chuyến xe mới còn ghế trống</t>
  </si>
  <si>
    <t>1. Chọn Quản lý vé
2. Chọn vé cũ cần đổi
3. Nhấn Đổi lịch trình
4. Chọn chuyến xe mới còn ghế trống
5. Xác nhận</t>
  </si>
  <si>
    <t>Hệ thống cập nhật lại thông tin mã vé sang chuyến mới, không làm thay đổi lịch sử dòng tiền thanh toán</t>
  </si>
  <si>
    <t>TC_MANAGE_TICKETS_005</t>
  </si>
  <si>
    <t>Chặn sửa vé thuộc chuyến đã hoàn tất hành trình</t>
  </si>
  <si>
    <t>Admin đã đăng nhập; vé thuộc về chuyến xe đã khởi hành và kết thúc trong quá khứ</t>
  </si>
  <si>
    <t>Mã vé thuộc chuyến đã hoàn tất hành trình</t>
  </si>
  <si>
    <t>1. Chọn Quản lý vé
2. Tìm vé thuộc chuyến đã kết thúc
3. Thử chỉnh sửa thông tin/trạng thái vé</t>
  </si>
  <si>
    <t>Hệ thống chặn quyền chỉnh sửa, hiển thị thông báo "Vé đã hoàn tất hành trình, không cho phép chỉnh sửa dữ liệu"</t>
  </si>
  <si>
    <t>UC13 – Book Ticket (Đặt vé)</t>
  </si>
  <si>
    <t>TC_BOOK_TICKETS_001</t>
  </si>
  <si>
    <t>Đặt vé và thanh toán thành công</t>
  </si>
  <si>
    <t>Người dùng đã đăng nhập tài khoản thành viên hợp lệ</t>
  </si>
  <si>
    <t>Điểm đi: TP.HCM
Điểm đến: Đà Lạt
Ngày đi: hợp lệ trong tương lai
Ghế: ghế trống bất kỳ
Phương thức thanh toán hợp lệ</t>
  </si>
  <si>
    <t>1. Nhập điểm đi, điểm đến, ngày đi
2. Chọn chuyến xe phù hợp
3. Chọn ghế trống trên sơ đồ
4. Xác nhận thông tin, chọn thanh toán online
5. Thực hiện thanh toán thành công</t>
  </si>
  <si>
    <t>Hệ thống xác nhận giao dịch, đổi trạng thái ghế thành "Đã bán", tạo mã vé điện tử (QR), gửi vé về email khách hàng</t>
  </si>
  <si>
    <t>TC_BOOK_TICKETS_002</t>
  </si>
  <si>
    <t>Cơ chế giữ chỗ tạm thời (Seat Blocking) khi chưa thanh toán</t>
  </si>
  <si>
    <t>Người dùng đã đăng nhập; đã chọn ghế và tiến hành thanh toán nhưng chưa hoàn tất</t>
  </si>
  <si>
    <t>Ghế đã chọn
Thời gian chờ: &gt; 10 phút không thanh toán</t>
  </si>
  <si>
    <t>1. Chọn ghế và bấm tiến hành thanh toán
2. Không thực hiện thanh toán, chờ quá 10 phút</t>
  </si>
  <si>
    <t>Hệ thống tự động nhả ghế về trạng thái trống sau 10 phút, ghế được mở lại cho người khác chọn</t>
  </si>
  <si>
    <t>TC_BOOK_TICKETS_003</t>
  </si>
  <si>
    <t>Ghế đã bị người khác đặt trước khi xác nhận</t>
  </si>
  <si>
    <t>Người dùng đã đăng nhập; cùng lúc có phiên làm việc khác đã khóa/mua ghế đó trước</t>
  </si>
  <si>
    <t>Ghế: vị trí đã bị một phiên khác giữ/mua trong tích tắc trước khi xác nhận</t>
  </si>
  <si>
    <t>1. Chọn ghế trên sơ đồ
2. Tiến hành xác nhận đặt vé
3. Hệ thống kiểm tra lại trạng thái ghế (Redis distributed lock NX)</t>
  </si>
  <si>
    <t>Hệ thống báo lỗi "Vị trí ghế đã có người đặt, vui lòng chọn lại ghế khác", không cho tiếp tục với ghế đó</t>
  </si>
  <si>
    <t>Hệ thống dùng Redis distributed lock (NX); khi nhiều VU cùng đặt 1 ghế trong load test, chỉ request đầu tiên thành công, các request sau nhận phản hồi "Seat is currently locked" — đúng như mong đợi</t>
  </si>
  <si>
    <t>TC_BOOK_TICKETS_004</t>
  </si>
  <si>
    <t>Thanh toán thất bại hoặc người dùng hủy giao dịch</t>
  </si>
  <si>
    <t>Người dùng đã đăng nhập; đã chọn ghế và chuyển sang cổng thanh toán</t>
  </si>
  <si>
    <t>Thông tin thanh toán không hợp lệ hoặc người dùng bấm "Quay lại" hủy giao dịch</t>
  </si>
  <si>
    <t>1. Tiến hành thanh toán tại cổng mô phỏng
2. Giao dịch trả về lỗi, hoặc người dùng bấm "Quay lại"</t>
  </si>
  <si>
    <t>Hệ thống giải phóng ghế đang giữ tạm thời, đơn vé chuyển trạng thái "Thanh toán thất bại/Hủy giao dịch"</t>
  </si>
  <si>
    <t>TC_BOOK_TICKETS_005</t>
  </si>
  <si>
    <t>Tìm kiếm chuyến xe không có kết quả phù hợp</t>
  </si>
  <si>
    <t>Người dùng đã đăng nhập</t>
  </si>
  <si>
    <t>Điểm đi: Hà Nội
Điểm đến: Cà Mau
Ngày đi: ngày không có chuyến xe nào hoạt động</t>
  </si>
  <si>
    <t>1. Nhập điểm đi, điểm đến, ngày đi
2. Nhấn tìm kiếm chuyến xe</t>
  </si>
  <si>
    <t>Hệ thống hiển thị thông báo không tìm thấy chuyến xe phù hợp, không hiển thị danh sách chuyến</t>
  </si>
  <si>
    <t>TC_BOOK_TICKETS_006</t>
  </si>
  <si>
    <t>Mã QR vé không được gửi về email sau khi thanh toán thành công</t>
  </si>
  <si>
    <t>Người dùng đã đăng nhập, đã thanh toán thành công cho vé vừa đặt</t>
  </si>
  <si>
    <t>Email tài khoản hợp lệ, đã xác thực; giao dịch thanh toán đã được hệ thống xác nhận</t>
  </si>
  <si>
    <t>1. Hoàn tất thanh toán thành công
2. Hệ thống hiển thị màn hình Đặt vé thành công
3. Kiểm tra hộp thư email của khách hàng trong vòng 5 phút</t>
  </si>
  <si>
    <t>Mã vé điện tử kèm mã QR phải được gửi đến email khách hàng ngay sau khi thanh toán thành công</t>
  </si>
  <si>
    <t>Email chứa mã vé/QR không được gửi đi do lỗi hàng đợi gửi mail (mail queue), khách hàng chỉ thấy vé trên màn hình mà không nhận được email xác nhận</t>
  </si>
  <si>
    <t>TC_BOOK_TICKETS_007</t>
  </si>
  <si>
    <t>Kiểm thử tải khi nhiều người dùng đặt vé đồng thời</t>
  </si>
  <si>
    <t>Hệ thống đã triển khai đầy đủ, môi trường Docker (Kafka, Redis, RabbitMQ) đang chạy ổn định</t>
  </si>
  <si>
    <t>Công cụ k6; kịch bản: smoke (1 VU/30s) + load (tăng dần đến 20 VU/50s) gọi API GET /api/tickets/user/me</t>
  </si>
  <si>
    <t>1. Chạy script k6 run booking.js
2. Theo dõi response time, tỷ lệ lỗi</t>
  </si>
  <si>
    <t>Tỷ lệ lỗi dưới ngưỡng cho phép (&lt;2%), thời gian phản hồi trung bình dưới 200ms</t>
  </si>
  <si>
    <t>310 requests, 0.32% failed, thời gian phản hồi trung bình 89.80ms, 95th percentile 162.37ms — đạt yêu cầu hiệu năng</t>
  </si>
  <si>
    <t>UC16 – Manage Personal Info (Quản lý thông tin cá nhân)</t>
  </si>
  <si>
    <t>TC_MANAGE_PERSONAL_INFO_001</t>
  </si>
  <si>
    <t>Cập nhật thông tin cá nhân thành công</t>
  </si>
  <si>
    <t>Người dùng đã đăng nhập thành công, đang ở giao diện tài khoản</t>
  </si>
  <si>
    <t>Tên: Nguyễn Văn A
Email: vana@example.com
SĐT: 0901234567 (chưa tồn tại trên hệ thống)</t>
  </si>
  <si>
    <t>1. Chọn trang thông tin cá nhân
2. Bấm Chỉnh sửa thông tin
3. Thay đổi Tên, Email, SĐT hợp lệ
4. Nhấn Lưu thay đổi</t>
  </si>
  <si>
    <t>Hệ thống kiểm tra hợp lệ, cập nhật thông tin mới vào database, hiển thị thông báo "Cập nhật thông tin thành công"</t>
  </si>
  <si>
    <t>TC_MANAGE_PERSONAL_INFO_002</t>
  </si>
  <si>
    <t>Hủy chỉnh sửa thông tin cá nhân</t>
  </si>
  <si>
    <t>Người dùng đã đăng nhập, đang ở giao diện tài khoản</t>
  </si>
  <si>
    <t>Tên/Email/SĐT: đã chỉnh sửa một số trường nhưng chưa lưu</t>
  </si>
  <si>
    <t>1. Chọn trang thông tin cá nhân
2. Bấm Chỉnh sửa thông tin
3. Thay đổi một vài thông tin
4. Nhấn Hủy</t>
  </si>
  <si>
    <t>Hệ thống quay lại màn hình thông tin cũ, không lưu bất kỳ thay đổi nào</t>
  </si>
  <si>
    <t>TC_MANAGE_PERSONAL_INFO_003</t>
  </si>
  <si>
    <t>Cập nhật Email sai định dạng</t>
  </si>
  <si>
    <t>Người dùng đã đăng nhập, đang ở giao diện chỉnh sửa thông tin cá nhân</t>
  </si>
  <si>
    <t>Email: vanaexample.com (thiếu ký tự @)</t>
  </si>
  <si>
    <t>1. Bấm Chỉnh sửa thông tin
2. Nhập Email sai định dạng
3. Nhấn Lưu thay đổi</t>
  </si>
  <si>
    <t>Hệ thống dừng luồng, không lưu, hiển thị thông báo lỗi định dạng email tại trường nhập (tiếng Việt)</t>
  </si>
  <si>
    <t>TC_MANAGE_PERSONAL_INFO_004</t>
  </si>
  <si>
    <t>Cập nhật Số điện thoại không đúng 10 số</t>
  </si>
  <si>
    <t>Số điện thoại: 09012 (chỉ 5 số) hoặc 090123456789 (quá 10 số)</t>
  </si>
  <si>
    <t>1. Bấm Chỉnh sửa thông tin
2. Nhập SĐT không đúng 10 số
3. Nhấn Lưu thay đổi</t>
  </si>
  <si>
    <t>Hệ thống dừng luồng, không lưu, hiển thị thông báo lỗi "Số điện thoại không hợp lệ" tại trường nhập</t>
  </si>
  <si>
    <t>TC_MANAGE_PERSONAL_INFO_005</t>
  </si>
  <si>
    <t>Cập nhật Email/Số điện thoại đã được sử dụng bởi tài khoản khác</t>
  </si>
  <si>
    <t>Người dùng đã đăng nhập; trên hệ thống đã tồn tại tài khoản khác dùng Email/SĐT này</t>
  </si>
  <si>
    <t>Email: existeduser@example.com (đã được tài khoản khác sử dụng)</t>
  </si>
  <si>
    <t>1. Bấm Chỉnh sửa thông tin
2. Nhập Email đã tồn tại trên hệ thống (thuộc tài khoản khác)
3. Nhấn Lưu thay đổi</t>
  </si>
  <si>
    <t>Hệ thống từ chối lưu, hiển thị thông báo lỗi "Email/Số điện thoại này đã được sử dụng"</t>
  </si>
  <si>
    <t>UC20 – Process Payment (Xử lý thanh toán)</t>
  </si>
  <si>
    <t>TC_PROCESS_PAYMENT_001</t>
  </si>
  <si>
    <t>Thanh toán thành công qua cổng thanh toán đối tác</t>
  </si>
  <si>
    <t>Đơn đặt vé đã khởi tạo thành công; khách hàng đã chọn phương thức thanh toán</t>
  </si>
  <si>
    <t>Giao dịch chuyển khoản thực qua MBBank, cổng SePay, nội dung "DH4 FT26036969150900...", số tiền 2.000đ</t>
  </si>
  <si>
    <t>1. Khách hàng xác nhận thanh toán
2. Hệ thống chuyển hướng đến cổng Sepay
3. SePay gửi webhook xác nhận về POST /api/tickets/webhook/sepay (qua tunnel ngrok)
4. Hệ thống xử lý webhook</t>
  </si>
  <si>
    <t>Hệ thống cập nhật trạng thái đơn hàng thành "Đã thanh toán", hiển thị màn hình chúc mừng đặt vé thành công, ghế được xác nhận khóa thành công</t>
  </si>
  <si>
    <t>Webhook nhận đúng tại endpoint, phản hồi HTTP 200 với {"success":true}. Kafka topic ticket.events ghi nhận sự kiện TICKET_BOOKED, xác nhận luồng end-to-end hoạt động đúng</t>
  </si>
  <si>
    <t>TC_PROCESS_PAYMENT_002</t>
  </si>
  <si>
    <t>Khách hàng hủy giao dịch giữa chừng tại cổng thanh toán</t>
  </si>
  <si>
    <t>Đơn đặt vé đã khởi tạo; khách hàng đã được chuyển hướng đến trang thanh toán của đối tác</t>
  </si>
  <si>
    <t>Không nhập/hoàn tất thông tin thanh toán</t>
  </si>
  <si>
    <t>1. Tại giao diện cổng thanh toán đối tác, khách hàng bấm "Hủy và quay lại trang web"</t>
  </si>
  <si>
    <t>Hệ thống nhận diện hành động hủy, hủy phiên giao dịch hiện tại, đưa khách hàng về trang chọn phương thức thanh toán cũ, đơn hàng không bị đánh dấu "Đã thanh toán"</t>
  </si>
  <si>
    <t>TC_PROCESS_PAYMENT_003</t>
  </si>
  <si>
    <t>Thanh toán thất bại do số dư tài khoản không đủ</t>
  </si>
  <si>
    <t>Đơn đặt vé đã khởi tạo; khách hàng đã chọn phương thức thanh toán bằng thẻ/ví có số dư không đủ</t>
  </si>
  <si>
    <t>Thông tin thẻ/ví hợp lệ nhưng số dư không đủ để thanh toán</t>
  </si>
  <si>
    <t>1. Khách hàng xác nhận thanh toán
2. Chuyển hướng đến cổng thanh toán
3. Nhập thông tin và xác thực
4. Cổng thanh toán phản hồi giao dịch thất bại</t>
  </si>
  <si>
    <t>Hệ thống chuyển trạng thái đơn thành "Thanh toán thất bại", hiển thị thông báo mời người dùng thử lại hoặc chọn phương thức khác</t>
  </si>
  <si>
    <t>TC_PROCESS_PAYMENT_004</t>
  </si>
  <si>
    <t>Mất kết nối/timeout khi đang chờ phản hồi từ cổng thanh toán</t>
  </si>
  <si>
    <t>Đơn đặt vé đã khởi tạo; khách hàng đã hoàn tất nhập thông tin tại cổng thanh toán đối tác</t>
  </si>
  <si>
    <t>Giao dịch đang xử lý nhưng kết nối giữa hệ thống và cổng thanh toán bị gián đoạn/quá thời gian chờ</t>
  </si>
  <si>
    <t>1. Khách hàng xác thực thanh toán tại cổng đối tác
2. Hệ thống không nhận được phản hồi kết quả trong thời gian quy định</t>
  </si>
  <si>
    <t>Hệ thống không xác nhận đơn hàng là "Đã thanh toán" khi chưa có phản hồi rõ ràng, đơn hàng giữ trạng thái chờ xử lý hoặc chuyển "Thanh toán thất bại", ghế không bị mất do lỗi hệ thống</t>
  </si>
  <si>
    <t>TC_PROCESS_PAYMENT_005</t>
  </si>
  <si>
    <t>Thử lại thanh toán sau khi giao dịch trước đó thất bại</t>
  </si>
  <si>
    <t>Đơn đặt vé tồn tại với trạng thái "Thanh toán thất bại" từ lần thử trước</t>
  </si>
  <si>
    <t>Phương thức thanh toán mới hoặc thông tin thẻ/ví hợp lệ, đủ số dư</t>
  </si>
  <si>
    <t>1. Khách hàng chọn "Thử lại" trên màn hình thông báo thất bại
2. Chọn lại phương thức thanh toán
3. Xác nhận thanh toán
4. Hoàn tất xác thực tại cổng thanh toán</t>
  </si>
  <si>
    <t>Hệ thống xử lý giao dịch mới thành công, cập nhật trạng thái đơn hàng thành "Đã thanh toán", hiển thị màn hình chúc mừng đặt vé thành công</t>
  </si>
  <si>
    <t>TC_PROCESS_PAYMENT_006</t>
  </si>
  <si>
    <t>Bán trùng ghế khi 2 đơn thanh toán đồng thời thành công</t>
  </si>
  <si>
    <t>Đơn đặt vé đã khởi tạo; 2 khách hàng cùng giữ chung 1 ghế và cùng thanh toán gần như đồng thời</t>
  </si>
  <si>
    <t>2 phiên thanh toán song song cho cùng 1 mã ghế (mô phỏng bằng k6, kịch bản concurrent_booking, 3 VU chạy song song)</t>
  </si>
  <si>
    <t>1. Khách A và khách B cùng xác nhận thanh toán cho cùng 1 ghế trong khoảng thời gian rất ngắn
2. Hệ thống kiểm tra khóa ghế qua Redis trước khi xác nhận giao dịch</t>
  </si>
  <si>
    <t>Hệ thống chỉ xác nhận 1 đơn hàng "Đã thanh toán", đơn còn lại phải bị từ chối/hoàn tiền tự động, ghế không bị bán trùng</t>
  </si>
  <si>
    <t>Cả 2 đơn hàng đều được cập nhật trạng thái "Đã thanh toán" cho cùng 1 ghế, hệ thống không phát hiện xung đột (race condition), dẫn đến bán trùng ghế</t>
  </si>
  <si>
    <t>TC_PROCESS_PAYMENT_007</t>
  </si>
  <si>
    <t>Đơn hàng vẫn thất bại dù tiền đã bị trừ từ tài khoản khách</t>
  </si>
  <si>
    <t>Đơn đặt vé đã khởi tạo; khách hàng thanh toán qua thẻ ngân hàng liên kết</t>
  </si>
  <si>
    <t>Thông tin thẻ hợp lệ, đủ số dư; cổng thanh toán phản hồi trễ/timeout</t>
  </si>
  <si>
    <t>1. Khách hàng xác thực thanh toán thành công tại cổng đối tác
2. Tiền đã bị trừ ở phía ngân hàng
3. Hệ thống không nhận được webhook callback đúng hạn</t>
  </si>
  <si>
    <t>Hệ thống đối soát và tự động cập nhật đơn hàng thành "Đã thanh toán", hoặc có cơ chế retry callback để đồng bộ trạng thái</t>
  </si>
  <si>
    <t>Đơn hàng vẫn giữ trạng thái "Thanh toán thất bại" dù tiền đã bị trừ, ghế bị nhả lại cho người khác, khách hàng mất tiền nhưng không có vé</t>
  </si>
  <si>
    <t>TC_PROCESS_PAYMENT_008</t>
  </si>
  <si>
    <t>Tạo đơn trùng lặp khi khách F5/Back ngay sau khi thanh toán xong</t>
  </si>
  <si>
    <t>Đơn đặt vé đã khởi tạo; khách hàng vừa thanh toán xong và đang ở màn hình chúc mừng</t>
  </si>
  <si>
    <t>Hành động: bấm nút Back hoặc F5 ngay sau bước 5 của luồng chính</t>
  </si>
  <si>
    <t>1. Thanh toán thành công, hệ thống hiển thị màn hình chúc mừng
2. Khách hàng bấm nút Back hoặc F5 trình duyệt</t>
  </si>
  <si>
    <t>Hệ thống không tạo thêm giao dịch/đơn hàng mới, không trừ tiền hoặc đặt thêm vé trùng lặp</t>
  </si>
  <si>
    <t>Hệ thống gửi lại yêu cầu thanh toán cũ, tạo ra đơn hàng trùng lặp cho cùng một chuyến đặt vé (double submit)</t>
  </si>
  <si>
    <t>TC_PROCESS_PAYMENT_009</t>
  </si>
  <si>
    <t>Giao dịch vượt hạn mức nhưng thông báo lỗi không rõ nguyên nhân</t>
  </si>
  <si>
    <t>Đơn đặt vé đã khởi tạo; khách hàng thanh toán bằng thẻ có hạn mức thấp hơn giá trị đơn hàng</t>
  </si>
  <si>
    <t>Giá trị đơn hàng: 5.000.000đ
Hạn mức giao dịch của thẻ: 3.000.000đ</t>
  </si>
  <si>
    <t>1. Khách hàng xác nhận thanh toán
2. Chuyển hướng đến cổng thanh toán
3. Nhập thông tin thẻ vượt hạn mức
4. Cổng thanh toán xử lý giao dịch</t>
  </si>
  <si>
    <t>Cổng thanh toán từ chối giao dịch do vượt hạn mức, hệ thống cập nhật đơn hàng thành "Thanh toán thất bại" và thông báo lý do cụ thể cho khách hàng</t>
  </si>
  <si>
    <t>Hệ thống hiển thị thông báo lỗi chung chung "Giao dịch thất bại", không nêu rõ nguyên nhân vượt hạn mức, khiến khách hàng không biết cách xử lý tiếp theo</t>
  </si>
  <si>
    <t>UC</t>
  </si>
  <si>
    <t>Tên chức năng</t>
  </si>
  <si>
    <t>Tổng TC</t>
  </si>
  <si>
    <t>Tỷ lệ Pass</t>
  </si>
  <si>
    <t>UC1</t>
  </si>
  <si>
    <t>Login – Đăng nhập hệ thống</t>
  </si>
  <si>
    <t>UC2</t>
  </si>
  <si>
    <t>Manage Company – Quản lý nhà xe</t>
  </si>
  <si>
    <t>UC4</t>
  </si>
  <si>
    <t>Manage Routes – Quản lý tuyến đường</t>
  </si>
  <si>
    <t>UC8</t>
  </si>
  <si>
    <t>Manage Tickets – Quản lý vé</t>
  </si>
  <si>
    <t>UC13</t>
  </si>
  <si>
    <t>Book Ticket – Đặt vé</t>
  </si>
  <si>
    <t>UC16</t>
  </si>
  <si>
    <t>Manage Personal Info – Quản lý thông tin cá nhân</t>
  </si>
  <si>
    <t>UC20</t>
  </si>
  <si>
    <t>Process Payment – Xử lý thanh toán</t>
  </si>
  <si>
    <t>TỔNG</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</si>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</sst>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charset val="134"/>
      <scheme val="minor"/>
    </font>
    <font>
      <b/>
      <sz val="10"/>
      <color rgb="FFFFFFFF"/>
      <name val="Arial"/>
      <charset val="134"/>
    </font>
    <font>
      <sz val="9"/>
      <name val="Arial"/>
      <charset val="134"/>
    </font>
    <font>
      <sz val="11"/>
      <color theme="1"/>
      <name val="Calibri"/>
      <family val="2"/>
      <scheme val="minor"/>
    </font>
    <font>
      <b/>
      <sz val="12"/>
      <color rgb="FFFFFFFF"/>
      <name val="Times New Roman"/>
      <family val="1"/>
    </font>
    <font>
      <b/>
      <sz val="12"/>
      <color theme="0"/>
      <name val="Times New Roman"/>
      <family val="1"/>
    </font>
    <font>
      <sz val="12"/>
      <color theme="1"/>
      <name val="Times New Roman"/>
      <family val="1"/>
    </font>
    <font>
      <sz val="12"/>
      <name val="Times New Roman"/>
      <family val="1"/>
    </font>
    <font>
      <b/>
      <sz val="12"/>
      <color theme="1"/>
      <name val="Times New Roman"/>
      <family val="1"/>
    </font>
    <font>
      <b/>
      <sz val="12"/>
      <color rgb="FF375623"/>
      <name val="Times New Roman"/>
      <family val="1"/>
    </font>
    <font>
      <b/>
      <sz val="12"/>
      <color rgb="FF9C0006"/>
      <name val="Times New Roman"/>
      <family val="1"/>
    </font>
  </fonts>
  <fills count="10">
    <fill>
      <patternFill patternType="none"/>
    </fill>
    <fill>
      <patternFill patternType="gray125"/>
    </fill>
    <fill>
      <patternFill patternType="solid">
        <fgColor rgb="FF1F4E79"/>
        <bgColor indexed="64"/>
      </patternFill>
    </fill>
    <fill>
      <patternFill patternType="solid">
        <fgColor rgb="FFDEEAF1"/>
        <bgColor indexed="64"/>
      </patternFill>
    </fill>
    <fill>
      <patternFill patternType="solid">
        <fgColor rgb="FFFFFFFF"/>
        <bgColor indexed="64"/>
      </patternFill>
    </fill>
    <fill>
      <patternFill patternType="solid">
        <fgColor theme="0"/>
        <bgColor indexed="64"/>
      </patternFill>
    </fill>
    <fill>
      <patternFill patternType="solid">
        <fgColor theme="3"/>
        <bgColor indexed="64"/>
      </patternFill>
    </fill>
    <fill>
      <patternFill patternType="solid">
        <fgColor rgb="FF00FA00"/>
        <bgColor indexed="64"/>
      </patternFill>
    </fill>
    <fill>
      <patternFill patternType="solid">
        <fgColor theme="5" tint="0.79998168889431442"/>
        <bgColor indexed="64"/>
      </patternFill>
    </fill>
    <fill>
      <patternFill patternType="solid">
        <fgColor theme="3" tint="-0.249977111117893"/>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top/>
      <bottom style="thin">
        <color indexed="64"/>
      </bottom>
      <diagonal/>
    </border>
    <border>
      <left style="thin">
        <color rgb="FFBFBFBF"/>
      </left>
      <right/>
      <top style="thin">
        <color rgb="FFBFBFBF"/>
      </top>
      <bottom style="thin">
        <color rgb="FFBFBFBF"/>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9" fontId="2" fillId="3"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9" fontId="2" fillId="4" borderId="1" xfId="0" applyNumberFormat="1" applyFont="1" applyFill="1" applyBorder="1" applyAlignment="1">
      <alignment horizontal="center" vertical="center" wrapText="1"/>
    </xf>
    <xf numFmtId="9" fontId="1" fillId="2" borderId="1" xfId="0" applyNumberFormat="1" applyFont="1" applyFill="1" applyBorder="1" applyAlignment="1">
      <alignment horizontal="center" vertical="center" wrapText="1"/>
    </xf>
    <xf numFmtId="0" fontId="0" fillId="5" borderId="0" xfId="0" applyFill="1"/>
    <xf numFmtId="0" fontId="3" fillId="0" borderId="0" xfId="0" applyFont="1"/>
    <xf numFmtId="0" fontId="4" fillId="2"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xf numFmtId="0" fontId="7"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4" fillId="9" borderId="1" xfId="0" applyFont="1" applyFill="1" applyBorder="1" applyAlignment="1">
      <alignment horizontal="left" vertical="center"/>
    </xf>
    <xf numFmtId="0" fontId="6" fillId="9" borderId="2" xfId="0" applyFont="1" applyFill="1" applyBorder="1" applyAlignment="1">
      <alignment horizontal="left" vertical="center"/>
    </xf>
    <xf numFmtId="0" fontId="6" fillId="9" borderId="3" xfId="0" applyFont="1" applyFill="1" applyBorder="1" applyAlignment="1">
      <alignment horizontal="left" vertical="center"/>
    </xf>
    <xf numFmtId="0" fontId="0" fillId="5" borderId="4" xfId="0" applyFill="1" applyBorder="1"/>
    <xf numFmtId="0" fontId="0" fillId="5" borderId="0" xfId="0" applyFill="1" applyBorder="1"/>
    <xf numFmtId="0" fontId="0" fillId="5" borderId="5" xfId="0" applyFill="1" applyBorder="1"/>
    <xf numFmtId="0" fontId="1" fillId="2" borderId="6" xfId="0"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00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4"/>
  <sheetViews>
    <sheetView tabSelected="1" zoomScale="70" zoomScaleNormal="70" workbookViewId="0">
      <pane ySplit="1" topLeftCell="A47" activePane="bottomLeft" state="frozen"/>
      <selection pane="bottomLeft" activeCell="C121" sqref="C121"/>
    </sheetView>
  </sheetViews>
  <sheetFormatPr baseColWidth="10" defaultColWidth="9" defaultRowHeight="15" x14ac:dyDescent="0.2"/>
  <cols>
    <col min="1" max="1" width="28.5" customWidth="1"/>
    <col min="2" max="2" width="35" customWidth="1"/>
    <col min="3" max="3" width="35" style="9" customWidth="1"/>
    <col min="4" max="4" width="30" customWidth="1"/>
    <col min="5" max="6" width="40" customWidth="1"/>
    <col min="7" max="7" width="40" style="10" customWidth="1"/>
    <col min="8" max="8" width="14" style="10" customWidth="1"/>
    <col min="9" max="9" width="12" customWidth="1"/>
  </cols>
  <sheetData>
    <row r="1" spans="1:11" ht="30" customHeight="1" x14ac:dyDescent="0.2">
      <c r="A1" s="11" t="s">
        <v>0</v>
      </c>
      <c r="B1" s="11" t="s">
        <v>1</v>
      </c>
      <c r="C1" s="12" t="s">
        <v>2</v>
      </c>
      <c r="D1" s="11" t="s">
        <v>3</v>
      </c>
      <c r="E1" s="11" t="s">
        <v>4</v>
      </c>
      <c r="F1" s="11" t="s">
        <v>5</v>
      </c>
      <c r="G1" s="13" t="s">
        <v>6</v>
      </c>
      <c r="H1" s="13" t="s">
        <v>7</v>
      </c>
      <c r="I1" s="11" t="s">
        <v>8</v>
      </c>
      <c r="J1" s="14"/>
      <c r="K1" s="14"/>
    </row>
    <row r="2" spans="1:11" ht="20" customHeight="1" x14ac:dyDescent="0.2">
      <c r="A2" s="22" t="s">
        <v>9</v>
      </c>
      <c r="B2" s="23"/>
      <c r="C2" s="23"/>
      <c r="D2" s="23"/>
      <c r="E2" s="23"/>
      <c r="F2" s="23"/>
      <c r="G2" s="23"/>
      <c r="H2" s="23"/>
      <c r="I2" s="24"/>
      <c r="J2" s="14"/>
      <c r="K2" s="14"/>
    </row>
    <row r="3" spans="1:11" ht="80" customHeight="1" x14ac:dyDescent="0.2">
      <c r="A3" s="15" t="s">
        <v>10</v>
      </c>
      <c r="B3" s="15" t="s">
        <v>11</v>
      </c>
      <c r="C3" s="15" t="s">
        <v>12</v>
      </c>
      <c r="D3" s="15" t="s">
        <v>13</v>
      </c>
      <c r="E3" s="15" t="s">
        <v>14</v>
      </c>
      <c r="F3" s="15" t="s">
        <v>15</v>
      </c>
      <c r="G3" s="16" t="s">
        <v>16</v>
      </c>
      <c r="H3" s="17" t="s">
        <v>17</v>
      </c>
      <c r="I3" s="18" t="s">
        <v>18</v>
      </c>
      <c r="J3" s="14"/>
      <c r="K3" s="14"/>
    </row>
    <row r="4" spans="1:11" ht="80" customHeight="1" x14ac:dyDescent="0.2">
      <c r="A4" s="15" t="s">
        <v>19</v>
      </c>
      <c r="B4" s="15" t="s">
        <v>20</v>
      </c>
      <c r="C4" s="15" t="s">
        <v>21</v>
      </c>
      <c r="D4" s="15" t="s">
        <v>22</v>
      </c>
      <c r="E4" s="15" t="s">
        <v>23</v>
      </c>
      <c r="F4" s="15" t="s">
        <v>24</v>
      </c>
      <c r="G4" s="16" t="s">
        <v>16</v>
      </c>
      <c r="H4" s="17" t="s">
        <v>17</v>
      </c>
      <c r="I4" s="18" t="s">
        <v>18</v>
      </c>
      <c r="J4" s="14"/>
      <c r="K4" s="14" t="s">
        <v>312</v>
      </c>
    </row>
    <row r="5" spans="1:11" ht="80" customHeight="1" x14ac:dyDescent="0.2">
      <c r="A5" s="15" t="s">
        <v>25</v>
      </c>
      <c r="B5" s="15" t="s">
        <v>26</v>
      </c>
      <c r="C5" s="15" t="s">
        <v>27</v>
      </c>
      <c r="D5" s="15" t="s">
        <v>28</v>
      </c>
      <c r="E5" s="15" t="s">
        <v>29</v>
      </c>
      <c r="F5" s="15" t="s">
        <v>30</v>
      </c>
      <c r="G5" s="16" t="s">
        <v>16</v>
      </c>
      <c r="H5" s="17" t="s">
        <v>17</v>
      </c>
      <c r="I5" s="18" t="s">
        <v>18</v>
      </c>
      <c r="J5" s="14"/>
      <c r="K5" s="14"/>
    </row>
    <row r="6" spans="1:11" ht="80" customHeight="1" x14ac:dyDescent="0.2">
      <c r="A6" s="15" t="s">
        <v>31</v>
      </c>
      <c r="B6" s="15" t="s">
        <v>32</v>
      </c>
      <c r="C6" s="15" t="s">
        <v>33</v>
      </c>
      <c r="D6" s="15" t="s">
        <v>34</v>
      </c>
      <c r="E6" s="15" t="s">
        <v>35</v>
      </c>
      <c r="F6" s="15" t="s">
        <v>36</v>
      </c>
      <c r="G6" s="16" t="s">
        <v>16</v>
      </c>
      <c r="H6" s="17" t="s">
        <v>37</v>
      </c>
      <c r="I6" s="18" t="s">
        <v>18</v>
      </c>
      <c r="J6" s="14"/>
      <c r="K6" s="14"/>
    </row>
    <row r="7" spans="1:11" ht="80" customHeight="1" x14ac:dyDescent="0.2">
      <c r="A7" s="15" t="s">
        <v>38</v>
      </c>
      <c r="B7" s="15" t="s">
        <v>39</v>
      </c>
      <c r="C7" s="15" t="s">
        <v>33</v>
      </c>
      <c r="D7" s="15" t="s">
        <v>40</v>
      </c>
      <c r="E7" s="15" t="s">
        <v>41</v>
      </c>
      <c r="F7" s="15" t="s">
        <v>42</v>
      </c>
      <c r="G7" s="16" t="s">
        <v>16</v>
      </c>
      <c r="H7" s="17" t="s">
        <v>37</v>
      </c>
      <c r="I7" s="18" t="s">
        <v>18</v>
      </c>
      <c r="J7" s="14"/>
      <c r="K7" s="14"/>
    </row>
    <row r="8" spans="1:11" ht="20" customHeight="1" x14ac:dyDescent="0.2">
      <c r="A8" s="22" t="s">
        <v>43</v>
      </c>
      <c r="B8" s="23"/>
      <c r="C8" s="23"/>
      <c r="D8" s="23"/>
      <c r="E8" s="23"/>
      <c r="F8" s="23"/>
      <c r="G8" s="23"/>
      <c r="H8" s="23"/>
      <c r="I8" s="24"/>
      <c r="J8" s="14"/>
      <c r="K8" s="14"/>
    </row>
    <row r="9" spans="1:11" ht="80" customHeight="1" x14ac:dyDescent="0.2">
      <c r="A9" s="15" t="s">
        <v>44</v>
      </c>
      <c r="B9" s="15" t="s">
        <v>45</v>
      </c>
      <c r="C9" s="15" t="s">
        <v>46</v>
      </c>
      <c r="D9" s="15" t="s">
        <v>47</v>
      </c>
      <c r="E9" s="15" t="s">
        <v>48</v>
      </c>
      <c r="F9" s="15" t="s">
        <v>49</v>
      </c>
      <c r="G9" s="16" t="s">
        <v>16</v>
      </c>
      <c r="H9" s="17" t="s">
        <v>17</v>
      </c>
      <c r="I9" s="18" t="s">
        <v>18</v>
      </c>
      <c r="J9" s="14"/>
      <c r="K9" s="14"/>
    </row>
    <row r="10" spans="1:11" ht="80" customHeight="1" x14ac:dyDescent="0.2">
      <c r="A10" s="15" t="s">
        <v>50</v>
      </c>
      <c r="B10" s="15" t="s">
        <v>51</v>
      </c>
      <c r="C10" s="15" t="s">
        <v>52</v>
      </c>
      <c r="D10" s="15" t="s">
        <v>53</v>
      </c>
      <c r="E10" s="15" t="s">
        <v>54</v>
      </c>
      <c r="F10" s="15" t="s">
        <v>55</v>
      </c>
      <c r="G10" s="16" t="s">
        <v>16</v>
      </c>
      <c r="H10" s="17" t="s">
        <v>17</v>
      </c>
      <c r="I10" s="18" t="s">
        <v>18</v>
      </c>
      <c r="J10" s="14"/>
      <c r="K10" s="14"/>
    </row>
    <row r="11" spans="1:11" ht="80" customHeight="1" x14ac:dyDescent="0.2">
      <c r="A11" s="15" t="s">
        <v>56</v>
      </c>
      <c r="B11" s="15" t="s">
        <v>57</v>
      </c>
      <c r="C11" s="15" t="s">
        <v>58</v>
      </c>
      <c r="D11" s="15" t="s">
        <v>59</v>
      </c>
      <c r="E11" s="15" t="s">
        <v>60</v>
      </c>
      <c r="F11" s="15" t="s">
        <v>61</v>
      </c>
      <c r="G11" s="16" t="s">
        <v>16</v>
      </c>
      <c r="H11" s="17" t="s">
        <v>37</v>
      </c>
      <c r="I11" s="18" t="s">
        <v>18</v>
      </c>
      <c r="J11" s="14"/>
      <c r="K11" s="14"/>
    </row>
    <row r="12" spans="1:11" ht="80" customHeight="1" x14ac:dyDescent="0.2">
      <c r="A12" s="15" t="s">
        <v>62</v>
      </c>
      <c r="B12" s="15" t="s">
        <v>63</v>
      </c>
      <c r="C12" s="15" t="s">
        <v>64</v>
      </c>
      <c r="D12" s="15" t="s">
        <v>65</v>
      </c>
      <c r="E12" s="15" t="s">
        <v>66</v>
      </c>
      <c r="F12" s="15" t="s">
        <v>67</v>
      </c>
      <c r="G12" s="16" t="s">
        <v>16</v>
      </c>
      <c r="H12" s="17" t="s">
        <v>17</v>
      </c>
      <c r="I12" s="18" t="s">
        <v>18</v>
      </c>
      <c r="J12" s="14"/>
      <c r="K12" s="14"/>
    </row>
    <row r="13" spans="1:11" ht="80" customHeight="1" x14ac:dyDescent="0.2">
      <c r="A13" s="15" t="s">
        <v>68</v>
      </c>
      <c r="B13" s="15" t="s">
        <v>69</v>
      </c>
      <c r="C13" s="15" t="s">
        <v>70</v>
      </c>
      <c r="D13" s="15" t="s">
        <v>71</v>
      </c>
      <c r="E13" s="15" t="s">
        <v>72</v>
      </c>
      <c r="F13" s="15" t="s">
        <v>73</v>
      </c>
      <c r="G13" s="16" t="s">
        <v>16</v>
      </c>
      <c r="H13" s="17" t="s">
        <v>37</v>
      </c>
      <c r="I13" s="18" t="s">
        <v>18</v>
      </c>
      <c r="J13" s="14"/>
      <c r="K13" s="14"/>
    </row>
    <row r="14" spans="1:11" ht="80" customHeight="1" x14ac:dyDescent="0.2">
      <c r="A14" s="15" t="s">
        <v>74</v>
      </c>
      <c r="B14" s="15" t="s">
        <v>75</v>
      </c>
      <c r="C14" s="15" t="s">
        <v>76</v>
      </c>
      <c r="D14" s="15" t="s">
        <v>77</v>
      </c>
      <c r="E14" s="15" t="s">
        <v>78</v>
      </c>
      <c r="F14" s="15" t="s">
        <v>79</v>
      </c>
      <c r="G14" s="16" t="s">
        <v>80</v>
      </c>
      <c r="H14" s="17" t="s">
        <v>37</v>
      </c>
      <c r="I14" s="19" t="s">
        <v>81</v>
      </c>
      <c r="J14" s="14"/>
      <c r="K14" s="14"/>
    </row>
    <row r="15" spans="1:11" ht="80" customHeight="1" x14ac:dyDescent="0.2">
      <c r="A15" s="15" t="s">
        <v>82</v>
      </c>
      <c r="B15" s="15" t="s">
        <v>83</v>
      </c>
      <c r="C15" s="15" t="s">
        <v>84</v>
      </c>
      <c r="D15" s="15" t="s">
        <v>85</v>
      </c>
      <c r="E15" s="15" t="s">
        <v>86</v>
      </c>
      <c r="F15" s="15" t="s">
        <v>87</v>
      </c>
      <c r="G15" s="16" t="s">
        <v>88</v>
      </c>
      <c r="H15" s="17" t="s">
        <v>17</v>
      </c>
      <c r="I15" s="19" t="s">
        <v>81</v>
      </c>
      <c r="J15" s="14"/>
      <c r="K15" s="14"/>
    </row>
    <row r="16" spans="1:11" ht="20" customHeight="1" x14ac:dyDescent="0.2">
      <c r="A16" s="22" t="s">
        <v>89</v>
      </c>
      <c r="B16" s="23"/>
      <c r="C16" s="23"/>
      <c r="D16" s="23"/>
      <c r="E16" s="23"/>
      <c r="F16" s="23"/>
      <c r="G16" s="23"/>
      <c r="H16" s="23"/>
      <c r="I16" s="24"/>
      <c r="J16" s="14"/>
      <c r="K16" s="14"/>
    </row>
    <row r="17" spans="1:11" ht="80" customHeight="1" x14ac:dyDescent="0.2">
      <c r="A17" s="15" t="s">
        <v>90</v>
      </c>
      <c r="B17" s="15" t="s">
        <v>91</v>
      </c>
      <c r="C17" s="15" t="s">
        <v>92</v>
      </c>
      <c r="D17" s="15" t="s">
        <v>93</v>
      </c>
      <c r="E17" s="15" t="s">
        <v>94</v>
      </c>
      <c r="F17" s="15" t="s">
        <v>95</v>
      </c>
      <c r="G17" s="16" t="s">
        <v>16</v>
      </c>
      <c r="H17" s="17" t="s">
        <v>17</v>
      </c>
      <c r="I17" s="18" t="s">
        <v>18</v>
      </c>
      <c r="J17" s="14"/>
      <c r="K17" s="14"/>
    </row>
    <row r="18" spans="1:11" ht="80" customHeight="1" x14ac:dyDescent="0.2">
      <c r="A18" s="15" t="s">
        <v>96</v>
      </c>
      <c r="B18" s="15" t="s">
        <v>97</v>
      </c>
      <c r="C18" s="15" t="s">
        <v>98</v>
      </c>
      <c r="D18" s="15" t="s">
        <v>99</v>
      </c>
      <c r="E18" s="15" t="s">
        <v>100</v>
      </c>
      <c r="F18" s="15" t="s">
        <v>101</v>
      </c>
      <c r="G18" s="16" t="s">
        <v>16</v>
      </c>
      <c r="H18" s="17" t="s">
        <v>17</v>
      </c>
      <c r="I18" s="18" t="s">
        <v>18</v>
      </c>
      <c r="J18" s="14"/>
      <c r="K18" s="14"/>
    </row>
    <row r="19" spans="1:11" ht="80" customHeight="1" x14ac:dyDescent="0.2">
      <c r="A19" s="15" t="s">
        <v>102</v>
      </c>
      <c r="B19" s="15" t="s">
        <v>103</v>
      </c>
      <c r="C19" s="15" t="s">
        <v>104</v>
      </c>
      <c r="D19" s="15" t="s">
        <v>105</v>
      </c>
      <c r="E19" s="15" t="s">
        <v>106</v>
      </c>
      <c r="F19" s="15" t="s">
        <v>107</v>
      </c>
      <c r="G19" s="16" t="s">
        <v>16</v>
      </c>
      <c r="H19" s="17" t="s">
        <v>17</v>
      </c>
      <c r="I19" s="18" t="s">
        <v>18</v>
      </c>
      <c r="J19" s="14"/>
      <c r="K19" s="14"/>
    </row>
    <row r="20" spans="1:11" ht="80" customHeight="1" x14ac:dyDescent="0.2">
      <c r="A20" s="15" t="s">
        <v>108</v>
      </c>
      <c r="B20" s="15" t="s">
        <v>109</v>
      </c>
      <c r="C20" s="15" t="s">
        <v>110</v>
      </c>
      <c r="D20" s="15" t="s">
        <v>111</v>
      </c>
      <c r="E20" s="15" t="s">
        <v>112</v>
      </c>
      <c r="F20" s="15" t="s">
        <v>113</v>
      </c>
      <c r="G20" s="16" t="s">
        <v>16</v>
      </c>
      <c r="H20" s="17" t="s">
        <v>37</v>
      </c>
      <c r="I20" s="18" t="s">
        <v>18</v>
      </c>
      <c r="J20" s="14"/>
      <c r="K20" s="14"/>
    </row>
    <row r="21" spans="1:11" ht="80" customHeight="1" x14ac:dyDescent="0.2">
      <c r="A21" s="15" t="s">
        <v>114</v>
      </c>
      <c r="B21" s="15" t="s">
        <v>115</v>
      </c>
      <c r="C21" s="15" t="s">
        <v>116</v>
      </c>
      <c r="D21" s="15" t="s">
        <v>117</v>
      </c>
      <c r="E21" s="15" t="s">
        <v>118</v>
      </c>
      <c r="F21" s="15" t="s">
        <v>119</v>
      </c>
      <c r="G21" s="16" t="s">
        <v>16</v>
      </c>
      <c r="H21" s="17" t="s">
        <v>37</v>
      </c>
      <c r="I21" s="18" t="s">
        <v>18</v>
      </c>
      <c r="J21" s="14"/>
      <c r="K21" s="14"/>
    </row>
    <row r="22" spans="1:11" ht="80" customHeight="1" x14ac:dyDescent="0.2">
      <c r="A22" s="15" t="s">
        <v>120</v>
      </c>
      <c r="B22" s="15" t="s">
        <v>121</v>
      </c>
      <c r="C22" s="15" t="s">
        <v>122</v>
      </c>
      <c r="D22" s="15" t="s">
        <v>123</v>
      </c>
      <c r="E22" s="15" t="s">
        <v>124</v>
      </c>
      <c r="F22" s="15" t="s">
        <v>125</v>
      </c>
      <c r="G22" s="16" t="s">
        <v>126</v>
      </c>
      <c r="H22" s="17" t="s">
        <v>17</v>
      </c>
      <c r="I22" s="19" t="s">
        <v>81</v>
      </c>
      <c r="J22" s="14"/>
      <c r="K22" s="14"/>
    </row>
    <row r="23" spans="1:11" ht="20" customHeight="1" x14ac:dyDescent="0.2">
      <c r="A23" s="22" t="s">
        <v>127</v>
      </c>
      <c r="B23" s="23"/>
      <c r="C23" s="23"/>
      <c r="D23" s="23"/>
      <c r="E23" s="23"/>
      <c r="F23" s="23"/>
      <c r="G23" s="23"/>
      <c r="H23" s="23"/>
      <c r="I23" s="24"/>
      <c r="J23" s="14"/>
      <c r="K23" s="14"/>
    </row>
    <row r="24" spans="1:11" ht="80" customHeight="1" x14ac:dyDescent="0.2">
      <c r="A24" s="15" t="s">
        <v>128</v>
      </c>
      <c r="B24" s="15" t="s">
        <v>129</v>
      </c>
      <c r="C24" s="15" t="s">
        <v>130</v>
      </c>
      <c r="D24" s="15" t="s">
        <v>131</v>
      </c>
      <c r="E24" s="15" t="s">
        <v>132</v>
      </c>
      <c r="F24" s="15" t="s">
        <v>133</v>
      </c>
      <c r="G24" s="16" t="s">
        <v>16</v>
      </c>
      <c r="H24" s="17" t="s">
        <v>17</v>
      </c>
      <c r="I24" s="18" t="s">
        <v>18</v>
      </c>
      <c r="J24" s="14"/>
      <c r="K24" s="14"/>
    </row>
    <row r="25" spans="1:11" ht="80" customHeight="1" x14ac:dyDescent="0.2">
      <c r="A25" s="15" t="s">
        <v>134</v>
      </c>
      <c r="B25" s="15" t="s">
        <v>135</v>
      </c>
      <c r="C25" s="15" t="s">
        <v>58</v>
      </c>
      <c r="D25" s="15" t="s">
        <v>136</v>
      </c>
      <c r="E25" s="15" t="s">
        <v>137</v>
      </c>
      <c r="F25" s="15" t="s">
        <v>138</v>
      </c>
      <c r="G25" s="16" t="s">
        <v>16</v>
      </c>
      <c r="H25" s="17" t="s">
        <v>37</v>
      </c>
      <c r="I25" s="18" t="s">
        <v>18</v>
      </c>
      <c r="J25" s="14"/>
      <c r="K25" s="14"/>
    </row>
    <row r="26" spans="1:11" ht="80" customHeight="1" x14ac:dyDescent="0.2">
      <c r="A26" s="15" t="s">
        <v>139</v>
      </c>
      <c r="B26" s="15" t="s">
        <v>140</v>
      </c>
      <c r="C26" s="15" t="s">
        <v>141</v>
      </c>
      <c r="D26" s="15" t="s">
        <v>142</v>
      </c>
      <c r="E26" s="15" t="s">
        <v>143</v>
      </c>
      <c r="F26" s="15" t="s">
        <v>144</v>
      </c>
      <c r="G26" s="16" t="s">
        <v>16</v>
      </c>
      <c r="H26" s="17" t="s">
        <v>17</v>
      </c>
      <c r="I26" s="18" t="s">
        <v>18</v>
      </c>
      <c r="J26" s="14"/>
      <c r="K26" s="14"/>
    </row>
    <row r="27" spans="1:11" ht="80" customHeight="1" x14ac:dyDescent="0.2">
      <c r="A27" s="15" t="s">
        <v>145</v>
      </c>
      <c r="B27" s="15" t="s">
        <v>146</v>
      </c>
      <c r="C27" s="15" t="s">
        <v>147</v>
      </c>
      <c r="D27" s="15" t="s">
        <v>148</v>
      </c>
      <c r="E27" s="15" t="s">
        <v>149</v>
      </c>
      <c r="F27" s="15" t="s">
        <v>150</v>
      </c>
      <c r="G27" s="16" t="s">
        <v>16</v>
      </c>
      <c r="H27" s="17" t="s">
        <v>37</v>
      </c>
      <c r="I27" s="18" t="s">
        <v>18</v>
      </c>
      <c r="J27" s="14"/>
      <c r="K27" s="14"/>
    </row>
    <row r="28" spans="1:11" ht="80" customHeight="1" x14ac:dyDescent="0.2">
      <c r="A28" s="15" t="s">
        <v>151</v>
      </c>
      <c r="B28" s="15" t="s">
        <v>152</v>
      </c>
      <c r="C28" s="15" t="s">
        <v>153</v>
      </c>
      <c r="D28" s="15" t="s">
        <v>154</v>
      </c>
      <c r="E28" s="15" t="s">
        <v>155</v>
      </c>
      <c r="F28" s="15" t="s">
        <v>156</v>
      </c>
      <c r="G28" s="16" t="s">
        <v>16</v>
      </c>
      <c r="H28" s="17" t="s">
        <v>17</v>
      </c>
      <c r="I28" s="18" t="s">
        <v>18</v>
      </c>
      <c r="J28" s="14"/>
      <c r="K28" s="14"/>
    </row>
    <row r="29" spans="1:11" ht="20" customHeight="1" x14ac:dyDescent="0.2">
      <c r="A29" s="22" t="s">
        <v>157</v>
      </c>
      <c r="B29" s="23"/>
      <c r="C29" s="23"/>
      <c r="D29" s="23"/>
      <c r="E29" s="23"/>
      <c r="F29" s="23"/>
      <c r="G29" s="23"/>
      <c r="H29" s="23"/>
      <c r="I29" s="24"/>
      <c r="J29" s="14"/>
      <c r="K29" s="14"/>
    </row>
    <row r="30" spans="1:11" ht="80" customHeight="1" x14ac:dyDescent="0.2">
      <c r="A30" s="15" t="s">
        <v>158</v>
      </c>
      <c r="B30" s="15" t="s">
        <v>159</v>
      </c>
      <c r="C30" s="15" t="s">
        <v>160</v>
      </c>
      <c r="D30" s="15" t="s">
        <v>161</v>
      </c>
      <c r="E30" s="15" t="s">
        <v>162</v>
      </c>
      <c r="F30" s="15" t="s">
        <v>163</v>
      </c>
      <c r="G30" s="16" t="s">
        <v>16</v>
      </c>
      <c r="H30" s="17" t="s">
        <v>17</v>
      </c>
      <c r="I30" s="18" t="s">
        <v>18</v>
      </c>
      <c r="J30" s="14"/>
      <c r="K30" s="14"/>
    </row>
    <row r="31" spans="1:11" ht="80" customHeight="1" x14ac:dyDescent="0.2">
      <c r="A31" s="15" t="s">
        <v>164</v>
      </c>
      <c r="B31" s="15" t="s">
        <v>165</v>
      </c>
      <c r="C31" s="15" t="s">
        <v>166</v>
      </c>
      <c r="D31" s="15" t="s">
        <v>167</v>
      </c>
      <c r="E31" s="15" t="s">
        <v>168</v>
      </c>
      <c r="F31" s="15" t="s">
        <v>169</v>
      </c>
      <c r="G31" s="16" t="s">
        <v>16</v>
      </c>
      <c r="H31" s="17" t="s">
        <v>17</v>
      </c>
      <c r="I31" s="18" t="s">
        <v>18</v>
      </c>
      <c r="J31" s="14"/>
      <c r="K31" s="14"/>
    </row>
    <row r="32" spans="1:11" ht="80" customHeight="1" x14ac:dyDescent="0.2">
      <c r="A32" s="15" t="s">
        <v>170</v>
      </c>
      <c r="B32" s="15" t="s">
        <v>171</v>
      </c>
      <c r="C32" s="15" t="s">
        <v>172</v>
      </c>
      <c r="D32" s="15" t="s">
        <v>173</v>
      </c>
      <c r="E32" s="15" t="s">
        <v>174</v>
      </c>
      <c r="F32" s="15" t="s">
        <v>175</v>
      </c>
      <c r="G32" s="16" t="s">
        <v>176</v>
      </c>
      <c r="H32" s="17" t="s">
        <v>17</v>
      </c>
      <c r="I32" s="18" t="s">
        <v>18</v>
      </c>
      <c r="J32" s="14"/>
      <c r="K32" s="14"/>
    </row>
    <row r="33" spans="1:11" ht="80" customHeight="1" x14ac:dyDescent="0.2">
      <c r="A33" s="15" t="s">
        <v>177</v>
      </c>
      <c r="B33" s="15" t="s">
        <v>178</v>
      </c>
      <c r="C33" s="15" t="s">
        <v>179</v>
      </c>
      <c r="D33" s="15" t="s">
        <v>180</v>
      </c>
      <c r="E33" s="15" t="s">
        <v>181</v>
      </c>
      <c r="F33" s="15" t="s">
        <v>182</v>
      </c>
      <c r="G33" s="16" t="s">
        <v>16</v>
      </c>
      <c r="H33" s="17" t="s">
        <v>17</v>
      </c>
      <c r="I33" s="18" t="s">
        <v>18</v>
      </c>
      <c r="J33" s="14"/>
      <c r="K33" s="14"/>
    </row>
    <row r="34" spans="1:11" ht="80" customHeight="1" x14ac:dyDescent="0.2">
      <c r="A34" s="15" t="s">
        <v>183</v>
      </c>
      <c r="B34" s="15" t="s">
        <v>184</v>
      </c>
      <c r="C34" s="15" t="s">
        <v>185</v>
      </c>
      <c r="D34" s="15" t="s">
        <v>186</v>
      </c>
      <c r="E34" s="15" t="s">
        <v>187</v>
      </c>
      <c r="F34" s="15" t="s">
        <v>188</v>
      </c>
      <c r="G34" s="16" t="s">
        <v>16</v>
      </c>
      <c r="H34" s="17" t="s">
        <v>37</v>
      </c>
      <c r="I34" s="18" t="s">
        <v>18</v>
      </c>
      <c r="J34" s="14"/>
      <c r="K34" s="14"/>
    </row>
    <row r="35" spans="1:11" ht="80" customHeight="1" x14ac:dyDescent="0.2">
      <c r="A35" s="15" t="s">
        <v>189</v>
      </c>
      <c r="B35" s="15" t="s">
        <v>190</v>
      </c>
      <c r="C35" s="15" t="s">
        <v>191</v>
      </c>
      <c r="D35" s="15" t="s">
        <v>192</v>
      </c>
      <c r="E35" s="15" t="s">
        <v>193</v>
      </c>
      <c r="F35" s="15" t="s">
        <v>194</v>
      </c>
      <c r="G35" s="16" t="s">
        <v>195</v>
      </c>
      <c r="H35" s="17" t="s">
        <v>37</v>
      </c>
      <c r="I35" s="19" t="s">
        <v>81</v>
      </c>
      <c r="J35" s="14"/>
      <c r="K35" s="14"/>
    </row>
    <row r="36" spans="1:11" ht="80" customHeight="1" x14ac:dyDescent="0.2">
      <c r="A36" s="15" t="s">
        <v>196</v>
      </c>
      <c r="B36" s="15" t="s">
        <v>197</v>
      </c>
      <c r="C36" s="15" t="s">
        <v>198</v>
      </c>
      <c r="D36" s="15" t="s">
        <v>199</v>
      </c>
      <c r="E36" s="15" t="s">
        <v>200</v>
      </c>
      <c r="F36" s="15" t="s">
        <v>201</v>
      </c>
      <c r="G36" s="16" t="s">
        <v>202</v>
      </c>
      <c r="H36" s="17" t="s">
        <v>37</v>
      </c>
      <c r="I36" s="18" t="s">
        <v>18</v>
      </c>
      <c r="J36" s="14"/>
      <c r="K36" s="14"/>
    </row>
    <row r="37" spans="1:11" ht="20" customHeight="1" x14ac:dyDescent="0.2">
      <c r="A37" s="22" t="s">
        <v>203</v>
      </c>
      <c r="B37" s="23"/>
      <c r="C37" s="23"/>
      <c r="D37" s="23"/>
      <c r="E37" s="23"/>
      <c r="F37" s="23"/>
      <c r="G37" s="23"/>
      <c r="H37" s="23"/>
      <c r="I37" s="24"/>
      <c r="J37" s="14"/>
      <c r="K37" s="14"/>
    </row>
    <row r="38" spans="1:11" ht="80" customHeight="1" x14ac:dyDescent="0.2">
      <c r="A38" s="15" t="s">
        <v>204</v>
      </c>
      <c r="B38" s="15" t="s">
        <v>205</v>
      </c>
      <c r="C38" s="15" t="s">
        <v>206</v>
      </c>
      <c r="D38" s="15" t="s">
        <v>207</v>
      </c>
      <c r="E38" s="15" t="s">
        <v>208</v>
      </c>
      <c r="F38" s="15" t="s">
        <v>209</v>
      </c>
      <c r="G38" s="16" t="s">
        <v>16</v>
      </c>
      <c r="H38" s="17" t="s">
        <v>17</v>
      </c>
      <c r="I38" s="18" t="s">
        <v>18</v>
      </c>
      <c r="J38" s="14"/>
      <c r="K38" s="14"/>
    </row>
    <row r="39" spans="1:11" ht="80" customHeight="1" x14ac:dyDescent="0.2">
      <c r="A39" s="15" t="s">
        <v>210</v>
      </c>
      <c r="B39" s="15" t="s">
        <v>211</v>
      </c>
      <c r="C39" s="15" t="s">
        <v>212</v>
      </c>
      <c r="D39" s="15" t="s">
        <v>213</v>
      </c>
      <c r="E39" s="15" t="s">
        <v>214</v>
      </c>
      <c r="F39" s="15" t="s">
        <v>215</v>
      </c>
      <c r="G39" s="16" t="s">
        <v>16</v>
      </c>
      <c r="H39" s="17" t="s">
        <v>37</v>
      </c>
      <c r="I39" s="18" t="s">
        <v>18</v>
      </c>
      <c r="J39" s="14"/>
      <c r="K39" s="14"/>
    </row>
    <row r="40" spans="1:11" ht="80" customHeight="1" x14ac:dyDescent="0.2">
      <c r="A40" s="15" t="s">
        <v>216</v>
      </c>
      <c r="B40" s="15" t="s">
        <v>217</v>
      </c>
      <c r="C40" s="15" t="s">
        <v>218</v>
      </c>
      <c r="D40" s="15" t="s">
        <v>219</v>
      </c>
      <c r="E40" s="15" t="s">
        <v>220</v>
      </c>
      <c r="F40" s="15" t="s">
        <v>221</v>
      </c>
      <c r="G40" s="16" t="s">
        <v>16</v>
      </c>
      <c r="H40" s="17" t="s">
        <v>17</v>
      </c>
      <c r="I40" s="18" t="s">
        <v>18</v>
      </c>
      <c r="J40" s="14"/>
      <c r="K40" s="14"/>
    </row>
    <row r="41" spans="1:11" ht="80" customHeight="1" x14ac:dyDescent="0.2">
      <c r="A41" s="15" t="s">
        <v>222</v>
      </c>
      <c r="B41" s="15" t="s">
        <v>223</v>
      </c>
      <c r="C41" s="15" t="s">
        <v>218</v>
      </c>
      <c r="D41" s="15" t="s">
        <v>224</v>
      </c>
      <c r="E41" s="15" t="s">
        <v>225</v>
      </c>
      <c r="F41" s="15" t="s">
        <v>226</v>
      </c>
      <c r="G41" s="16" t="s">
        <v>16</v>
      </c>
      <c r="H41" s="17" t="s">
        <v>17</v>
      </c>
      <c r="I41" s="18" t="s">
        <v>18</v>
      </c>
      <c r="J41" s="14"/>
      <c r="K41" s="14"/>
    </row>
    <row r="42" spans="1:11" ht="80" customHeight="1" x14ac:dyDescent="0.2">
      <c r="A42" s="15" t="s">
        <v>227</v>
      </c>
      <c r="B42" s="15" t="s">
        <v>228</v>
      </c>
      <c r="C42" s="15" t="s">
        <v>229</v>
      </c>
      <c r="D42" s="15" t="s">
        <v>230</v>
      </c>
      <c r="E42" s="15" t="s">
        <v>231</v>
      </c>
      <c r="F42" s="15" t="s">
        <v>232</v>
      </c>
      <c r="G42" s="16" t="s">
        <v>16</v>
      </c>
      <c r="H42" s="17" t="s">
        <v>17</v>
      </c>
      <c r="I42" s="18" t="s">
        <v>18</v>
      </c>
      <c r="J42" s="14"/>
      <c r="K42" s="14"/>
    </row>
    <row r="43" spans="1:11" ht="20" customHeight="1" x14ac:dyDescent="0.2">
      <c r="A43" s="22" t="s">
        <v>233</v>
      </c>
      <c r="B43" s="23"/>
      <c r="C43" s="23"/>
      <c r="D43" s="23"/>
      <c r="E43" s="23"/>
      <c r="F43" s="23"/>
      <c r="G43" s="23"/>
      <c r="H43" s="23"/>
      <c r="I43" s="24"/>
      <c r="J43" s="14"/>
      <c r="K43" s="14"/>
    </row>
    <row r="44" spans="1:11" ht="80" customHeight="1" x14ac:dyDescent="0.2">
      <c r="A44" s="15" t="s">
        <v>234</v>
      </c>
      <c r="B44" s="15" t="s">
        <v>235</v>
      </c>
      <c r="C44" s="15" t="s">
        <v>236</v>
      </c>
      <c r="D44" s="15" t="s">
        <v>237</v>
      </c>
      <c r="E44" s="15" t="s">
        <v>238</v>
      </c>
      <c r="F44" s="15" t="s">
        <v>239</v>
      </c>
      <c r="G44" s="16" t="s">
        <v>240</v>
      </c>
      <c r="H44" s="17" t="s">
        <v>17</v>
      </c>
      <c r="I44" s="18" t="s">
        <v>18</v>
      </c>
      <c r="J44" s="14"/>
      <c r="K44" s="14"/>
    </row>
    <row r="45" spans="1:11" ht="80" customHeight="1" x14ac:dyDescent="0.2">
      <c r="A45" s="15" t="s">
        <v>241</v>
      </c>
      <c r="B45" s="15" t="s">
        <v>242</v>
      </c>
      <c r="C45" s="15" t="s">
        <v>243</v>
      </c>
      <c r="D45" s="15" t="s">
        <v>244</v>
      </c>
      <c r="E45" s="15" t="s">
        <v>245</v>
      </c>
      <c r="F45" s="15" t="s">
        <v>246</v>
      </c>
      <c r="G45" s="16" t="s">
        <v>16</v>
      </c>
      <c r="H45" s="17" t="s">
        <v>37</v>
      </c>
      <c r="I45" s="18" t="s">
        <v>18</v>
      </c>
      <c r="J45" s="14"/>
      <c r="K45" s="14"/>
    </row>
    <row r="46" spans="1:11" ht="80" customHeight="1" x14ac:dyDescent="0.2">
      <c r="A46" s="15" t="s">
        <v>247</v>
      </c>
      <c r="B46" s="15" t="s">
        <v>248</v>
      </c>
      <c r="C46" s="15" t="s">
        <v>249</v>
      </c>
      <c r="D46" s="15" t="s">
        <v>250</v>
      </c>
      <c r="E46" s="15" t="s">
        <v>251</v>
      </c>
      <c r="F46" s="15" t="s">
        <v>252</v>
      </c>
      <c r="G46" s="16" t="s">
        <v>16</v>
      </c>
      <c r="H46" s="17" t="s">
        <v>17</v>
      </c>
      <c r="I46" s="18" t="s">
        <v>18</v>
      </c>
      <c r="J46" s="14"/>
      <c r="K46" s="14"/>
    </row>
    <row r="47" spans="1:11" ht="80" customHeight="1" x14ac:dyDescent="0.2">
      <c r="A47" s="15" t="s">
        <v>253</v>
      </c>
      <c r="B47" s="15" t="s">
        <v>254</v>
      </c>
      <c r="C47" s="15" t="s">
        <v>255</v>
      </c>
      <c r="D47" s="15" t="s">
        <v>256</v>
      </c>
      <c r="E47" s="15" t="s">
        <v>257</v>
      </c>
      <c r="F47" s="15" t="s">
        <v>258</v>
      </c>
      <c r="G47" s="16" t="s">
        <v>16</v>
      </c>
      <c r="H47" s="17" t="s">
        <v>17</v>
      </c>
      <c r="I47" s="18" t="s">
        <v>18</v>
      </c>
      <c r="J47" s="14"/>
      <c r="K47" s="14"/>
    </row>
    <row r="48" spans="1:11" ht="80" customHeight="1" x14ac:dyDescent="0.2">
      <c r="A48" s="15" t="s">
        <v>259</v>
      </c>
      <c r="B48" s="15" t="s">
        <v>260</v>
      </c>
      <c r="C48" s="15" t="s">
        <v>261</v>
      </c>
      <c r="D48" s="15" t="s">
        <v>262</v>
      </c>
      <c r="E48" s="15" t="s">
        <v>263</v>
      </c>
      <c r="F48" s="15" t="s">
        <v>264</v>
      </c>
      <c r="G48" s="16" t="s">
        <v>16</v>
      </c>
      <c r="H48" s="20" t="s">
        <v>37</v>
      </c>
      <c r="I48" s="18" t="s">
        <v>18</v>
      </c>
      <c r="J48" s="14"/>
      <c r="K48" s="14"/>
    </row>
    <row r="49" spans="1:11" ht="80" customHeight="1" x14ac:dyDescent="0.2">
      <c r="A49" s="15" t="s">
        <v>265</v>
      </c>
      <c r="B49" s="15" t="s">
        <v>266</v>
      </c>
      <c r="C49" s="15" t="s">
        <v>267</v>
      </c>
      <c r="D49" s="15" t="s">
        <v>268</v>
      </c>
      <c r="E49" s="15" t="s">
        <v>269</v>
      </c>
      <c r="F49" s="15" t="s">
        <v>270</v>
      </c>
      <c r="G49" s="16" t="s">
        <v>271</v>
      </c>
      <c r="H49" s="20" t="s">
        <v>17</v>
      </c>
      <c r="I49" s="19" t="s">
        <v>81</v>
      </c>
      <c r="J49" s="14"/>
      <c r="K49" s="14"/>
    </row>
    <row r="50" spans="1:11" ht="80" customHeight="1" x14ac:dyDescent="0.2">
      <c r="A50" s="15" t="s">
        <v>272</v>
      </c>
      <c r="B50" s="15" t="s">
        <v>273</v>
      </c>
      <c r="C50" s="15" t="s">
        <v>274</v>
      </c>
      <c r="D50" s="15" t="s">
        <v>275</v>
      </c>
      <c r="E50" s="15" t="s">
        <v>276</v>
      </c>
      <c r="F50" s="15" t="s">
        <v>277</v>
      </c>
      <c r="G50" s="16" t="s">
        <v>278</v>
      </c>
      <c r="H50" s="20" t="s">
        <v>17</v>
      </c>
      <c r="I50" s="19" t="s">
        <v>81</v>
      </c>
      <c r="J50" s="14"/>
      <c r="K50" s="14"/>
    </row>
    <row r="51" spans="1:11" ht="80" customHeight="1" x14ac:dyDescent="0.2">
      <c r="A51" s="21" t="s">
        <v>279</v>
      </c>
      <c r="B51" s="21" t="s">
        <v>280</v>
      </c>
      <c r="C51" s="15" t="s">
        <v>281</v>
      </c>
      <c r="D51" s="15" t="s">
        <v>282</v>
      </c>
      <c r="E51" s="15" t="s">
        <v>283</v>
      </c>
      <c r="F51" s="15" t="s">
        <v>284</v>
      </c>
      <c r="G51" s="16" t="s">
        <v>285</v>
      </c>
      <c r="H51" s="20" t="s">
        <v>37</v>
      </c>
      <c r="I51" s="19" t="s">
        <v>81</v>
      </c>
      <c r="J51" s="14"/>
      <c r="K51" s="14"/>
    </row>
    <row r="52" spans="1:11" ht="80" customHeight="1" x14ac:dyDescent="0.2">
      <c r="A52" s="15" t="s">
        <v>286</v>
      </c>
      <c r="B52" s="15" t="s">
        <v>287</v>
      </c>
      <c r="C52" s="15" t="s">
        <v>288</v>
      </c>
      <c r="D52" s="15" t="s">
        <v>289</v>
      </c>
      <c r="E52" s="15" t="s">
        <v>290</v>
      </c>
      <c r="F52" s="15" t="s">
        <v>291</v>
      </c>
      <c r="G52" s="16" t="s">
        <v>292</v>
      </c>
      <c r="H52" s="20" t="s">
        <v>37</v>
      </c>
      <c r="I52" s="19" t="s">
        <v>81</v>
      </c>
      <c r="J52" s="14"/>
      <c r="K52" s="14"/>
    </row>
    <row r="53" spans="1:11" x14ac:dyDescent="0.2">
      <c r="C53" s="25"/>
    </row>
    <row r="54" spans="1:11" x14ac:dyDescent="0.2">
      <c r="C54" s="26"/>
    </row>
    <row r="55" spans="1:11" x14ac:dyDescent="0.2">
      <c r="C55" s="26"/>
    </row>
    <row r="56" spans="1:11" x14ac:dyDescent="0.2">
      <c r="C56" s="26"/>
    </row>
    <row r="57" spans="1:11" x14ac:dyDescent="0.2">
      <c r="C57" s="26"/>
    </row>
    <row r="58" spans="1:11" x14ac:dyDescent="0.2">
      <c r="C58" s="26"/>
    </row>
    <row r="59" spans="1:11" x14ac:dyDescent="0.2">
      <c r="C59" s="26"/>
    </row>
    <row r="60" spans="1:11" x14ac:dyDescent="0.2">
      <c r="C60" s="26"/>
    </row>
    <row r="61" spans="1:11" x14ac:dyDescent="0.2">
      <c r="C61" s="26"/>
    </row>
    <row r="62" spans="1:11" x14ac:dyDescent="0.2">
      <c r="C62" s="26"/>
    </row>
    <row r="63" spans="1:11" x14ac:dyDescent="0.2">
      <c r="C63" s="26"/>
    </row>
    <row r="64" spans="1:11" x14ac:dyDescent="0.2">
      <c r="C64" s="26"/>
    </row>
    <row r="65" spans="3:3" x14ac:dyDescent="0.2">
      <c r="C65" s="26"/>
    </row>
    <row r="66" spans="3:3" x14ac:dyDescent="0.2">
      <c r="C66" s="26"/>
    </row>
    <row r="67" spans="3:3" x14ac:dyDescent="0.2">
      <c r="C67" s="26"/>
    </row>
    <row r="68" spans="3:3" x14ac:dyDescent="0.2">
      <c r="C68" s="26"/>
    </row>
    <row r="69" spans="3:3" x14ac:dyDescent="0.2">
      <c r="C69" s="26"/>
    </row>
    <row r="70" spans="3:3" x14ac:dyDescent="0.2">
      <c r="C70" s="26"/>
    </row>
    <row r="71" spans="3:3" x14ac:dyDescent="0.2">
      <c r="C71" s="26"/>
    </row>
    <row r="72" spans="3:3" x14ac:dyDescent="0.2">
      <c r="C72" s="26"/>
    </row>
    <row r="73" spans="3:3" x14ac:dyDescent="0.2">
      <c r="C73" s="26"/>
    </row>
    <row r="74" spans="3:3" x14ac:dyDescent="0.2">
      <c r="C74" s="26"/>
    </row>
    <row r="75" spans="3:3" x14ac:dyDescent="0.2">
      <c r="C75" s="26"/>
    </row>
    <row r="76" spans="3:3" x14ac:dyDescent="0.2">
      <c r="C76" s="26"/>
    </row>
    <row r="77" spans="3:3" x14ac:dyDescent="0.2">
      <c r="C77" s="26"/>
    </row>
    <row r="78" spans="3:3" x14ac:dyDescent="0.2">
      <c r="C78" s="26"/>
    </row>
    <row r="79" spans="3:3" x14ac:dyDescent="0.2">
      <c r="C79" s="26"/>
    </row>
    <row r="80" spans="3:3" x14ac:dyDescent="0.2">
      <c r="C80" s="26"/>
    </row>
    <row r="81" spans="3:3" x14ac:dyDescent="0.2">
      <c r="C81" s="26"/>
    </row>
    <row r="82" spans="3:3" x14ac:dyDescent="0.2">
      <c r="C82" s="26"/>
    </row>
    <row r="83" spans="3:3" x14ac:dyDescent="0.2">
      <c r="C83" s="26"/>
    </row>
    <row r="84" spans="3:3" x14ac:dyDescent="0.2">
      <c r="C84" s="26"/>
    </row>
    <row r="85" spans="3:3" x14ac:dyDescent="0.2">
      <c r="C85" s="26"/>
    </row>
    <row r="86" spans="3:3" x14ac:dyDescent="0.2">
      <c r="C86" s="26"/>
    </row>
    <row r="87" spans="3:3" x14ac:dyDescent="0.2">
      <c r="C87" s="26"/>
    </row>
    <row r="88" spans="3:3" x14ac:dyDescent="0.2">
      <c r="C88" s="26"/>
    </row>
    <row r="89" spans="3:3" x14ac:dyDescent="0.2">
      <c r="C89" s="26"/>
    </row>
    <row r="90" spans="3:3" x14ac:dyDescent="0.2">
      <c r="C90" s="26"/>
    </row>
    <row r="91" spans="3:3" x14ac:dyDescent="0.2">
      <c r="C91" s="26"/>
    </row>
    <row r="92" spans="3:3" x14ac:dyDescent="0.2">
      <c r="C92" s="26"/>
    </row>
    <row r="93" spans="3:3" x14ac:dyDescent="0.2">
      <c r="C93" s="26"/>
    </row>
    <row r="94" spans="3:3" x14ac:dyDescent="0.2">
      <c r="C94" s="26"/>
    </row>
    <row r="95" spans="3:3" x14ac:dyDescent="0.2">
      <c r="C95" s="26"/>
    </row>
    <row r="96" spans="3:3" x14ac:dyDescent="0.2">
      <c r="C96" s="26"/>
    </row>
    <row r="97" spans="3:3" x14ac:dyDescent="0.2">
      <c r="C97" s="26"/>
    </row>
    <row r="98" spans="3:3" x14ac:dyDescent="0.2">
      <c r="C98" s="26"/>
    </row>
    <row r="99" spans="3:3" x14ac:dyDescent="0.2">
      <c r="C99" s="26"/>
    </row>
    <row r="100" spans="3:3" x14ac:dyDescent="0.2">
      <c r="C100" s="26"/>
    </row>
    <row r="101" spans="3:3" x14ac:dyDescent="0.2">
      <c r="C101" s="26"/>
    </row>
    <row r="102" spans="3:3" x14ac:dyDescent="0.2">
      <c r="C102" s="26"/>
    </row>
    <row r="103" spans="3:3" x14ac:dyDescent="0.2">
      <c r="C103" s="26"/>
    </row>
    <row r="104" spans="3:3" x14ac:dyDescent="0.2">
      <c r="C104" s="26"/>
    </row>
    <row r="105" spans="3:3" x14ac:dyDescent="0.2">
      <c r="C105" s="26"/>
    </row>
    <row r="106" spans="3:3" x14ac:dyDescent="0.2">
      <c r="C106" s="26"/>
    </row>
    <row r="107" spans="3:3" x14ac:dyDescent="0.2">
      <c r="C107" s="26"/>
    </row>
    <row r="108" spans="3:3" x14ac:dyDescent="0.2">
      <c r="C108" s="26"/>
    </row>
    <row r="109" spans="3:3" x14ac:dyDescent="0.2">
      <c r="C109" s="26"/>
    </row>
    <row r="110" spans="3:3" x14ac:dyDescent="0.2">
      <c r="C110" s="26"/>
    </row>
    <row r="111" spans="3:3" x14ac:dyDescent="0.2">
      <c r="C111" s="26"/>
    </row>
    <row r="112" spans="3:3" x14ac:dyDescent="0.2">
      <c r="C112" s="26"/>
    </row>
    <row r="113" spans="3:3" x14ac:dyDescent="0.2">
      <c r="C113" s="26"/>
    </row>
    <row r="114" spans="3:3" x14ac:dyDescent="0.2">
      <c r="C114" s="26"/>
    </row>
    <row r="115" spans="3:3" x14ac:dyDescent="0.2">
      <c r="C115" s="26"/>
    </row>
    <row r="116" spans="3:3" x14ac:dyDescent="0.2">
      <c r="C116" s="26"/>
    </row>
    <row r="117" spans="3:3" x14ac:dyDescent="0.2">
      <c r="C117" s="26"/>
    </row>
    <row r="118" spans="3:3" x14ac:dyDescent="0.2">
      <c r="C118" s="26"/>
    </row>
    <row r="119" spans="3:3" x14ac:dyDescent="0.2">
      <c r="C119" s="26"/>
    </row>
    <row r="120" spans="3:3" x14ac:dyDescent="0.2">
      <c r="C120" s="26"/>
    </row>
    <row r="121" spans="3:3" x14ac:dyDescent="0.2">
      <c r="C121" s="26"/>
    </row>
    <row r="122" spans="3:3" x14ac:dyDescent="0.2">
      <c r="C122" s="26"/>
    </row>
    <row r="123" spans="3:3" x14ac:dyDescent="0.2">
      <c r="C123" s="26"/>
    </row>
    <row r="124" spans="3:3" x14ac:dyDescent="0.2">
      <c r="C124" s="26"/>
    </row>
    <row r="125" spans="3:3" x14ac:dyDescent="0.2">
      <c r="C125" s="26"/>
    </row>
    <row r="126" spans="3:3" x14ac:dyDescent="0.2">
      <c r="C126" s="26"/>
    </row>
    <row r="127" spans="3:3" x14ac:dyDescent="0.2">
      <c r="C127" s="26"/>
    </row>
    <row r="128" spans="3:3" x14ac:dyDescent="0.2">
      <c r="C128" s="26"/>
    </row>
    <row r="129" spans="3:3" x14ac:dyDescent="0.2">
      <c r="C129" s="26"/>
    </row>
    <row r="130" spans="3:3" x14ac:dyDescent="0.2">
      <c r="C130" s="26"/>
    </row>
    <row r="131" spans="3:3" x14ac:dyDescent="0.2">
      <c r="C131" s="26"/>
    </row>
    <row r="132" spans="3:3" x14ac:dyDescent="0.2">
      <c r="C132" s="26"/>
    </row>
    <row r="133" spans="3:3" x14ac:dyDescent="0.2">
      <c r="C133" s="26"/>
    </row>
    <row r="134" spans="3:3" x14ac:dyDescent="0.2">
      <c r="C134" s="26"/>
    </row>
    <row r="135" spans="3:3" x14ac:dyDescent="0.2">
      <c r="C135" s="26"/>
    </row>
    <row r="136" spans="3:3" x14ac:dyDescent="0.2">
      <c r="C136" s="26"/>
    </row>
    <row r="137" spans="3:3" x14ac:dyDescent="0.2">
      <c r="C137" s="26"/>
    </row>
    <row r="138" spans="3:3" x14ac:dyDescent="0.2">
      <c r="C138" s="26"/>
    </row>
    <row r="139" spans="3:3" x14ac:dyDescent="0.2">
      <c r="C139" s="26"/>
    </row>
    <row r="140" spans="3:3" x14ac:dyDescent="0.2">
      <c r="C140" s="26"/>
    </row>
    <row r="141" spans="3:3" x14ac:dyDescent="0.2">
      <c r="C141" s="26"/>
    </row>
    <row r="142" spans="3:3" x14ac:dyDescent="0.2">
      <c r="C142" s="26"/>
    </row>
    <row r="143" spans="3:3" x14ac:dyDescent="0.2">
      <c r="C143" s="26"/>
    </row>
    <row r="144" spans="3:3" x14ac:dyDescent="0.2">
      <c r="C144" s="26"/>
    </row>
    <row r="145" spans="3:3" x14ac:dyDescent="0.2">
      <c r="C145" s="26"/>
    </row>
    <row r="146" spans="3:3" x14ac:dyDescent="0.2">
      <c r="C146" s="26"/>
    </row>
    <row r="147" spans="3:3" x14ac:dyDescent="0.2">
      <c r="C147" s="26"/>
    </row>
    <row r="148" spans="3:3" x14ac:dyDescent="0.2">
      <c r="C148" s="26"/>
    </row>
    <row r="149" spans="3:3" x14ac:dyDescent="0.2">
      <c r="C149" s="26"/>
    </row>
    <row r="150" spans="3:3" x14ac:dyDescent="0.2">
      <c r="C150" s="26"/>
    </row>
    <row r="151" spans="3:3" x14ac:dyDescent="0.2">
      <c r="C151" s="26"/>
    </row>
    <row r="152" spans="3:3" x14ac:dyDescent="0.2">
      <c r="C152" s="26"/>
    </row>
    <row r="153" spans="3:3" x14ac:dyDescent="0.2">
      <c r="C153" s="26"/>
    </row>
    <row r="154" spans="3:3" x14ac:dyDescent="0.2">
      <c r="C154" s="27"/>
    </row>
  </sheetData>
  <mergeCells count="7">
    <mergeCell ref="A37:I37"/>
    <mergeCell ref="A43:I43"/>
    <mergeCell ref="A2:I2"/>
    <mergeCell ref="A8:I8"/>
    <mergeCell ref="A16:I16"/>
    <mergeCell ref="A23:I23"/>
    <mergeCell ref="A29:I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pane ySplit="1" topLeftCell="A2" activePane="bottomLeft" state="frozen"/>
      <selection pane="bottomLeft" activeCell="D10" sqref="D10"/>
    </sheetView>
  </sheetViews>
  <sheetFormatPr baseColWidth="10" defaultColWidth="9" defaultRowHeight="15" x14ac:dyDescent="0.2"/>
  <cols>
    <col min="1" max="1" width="10" customWidth="1"/>
    <col min="2" max="2" width="40" customWidth="1"/>
    <col min="3" max="3" width="12" customWidth="1"/>
    <col min="4" max="5" width="10" customWidth="1"/>
    <col min="6" max="6" width="14" customWidth="1"/>
  </cols>
  <sheetData>
    <row r="1" spans="1:6" ht="30" customHeight="1" x14ac:dyDescent="0.2">
      <c r="A1" s="1" t="s">
        <v>293</v>
      </c>
      <c r="B1" s="1" t="s">
        <v>294</v>
      </c>
      <c r="C1" s="1" t="s">
        <v>295</v>
      </c>
      <c r="D1" s="1" t="s">
        <v>18</v>
      </c>
      <c r="E1" s="1" t="s">
        <v>81</v>
      </c>
      <c r="F1" s="1" t="s">
        <v>296</v>
      </c>
    </row>
    <row r="2" spans="1:6" x14ac:dyDescent="0.2">
      <c r="A2" s="2" t="s">
        <v>297</v>
      </c>
      <c r="B2" s="3" t="s">
        <v>298</v>
      </c>
      <c r="C2" s="2">
        <v>5</v>
      </c>
      <c r="D2" s="2">
        <v>5</v>
      </c>
      <c r="E2" s="2">
        <v>0</v>
      </c>
      <c r="F2" s="4">
        <f t="shared" ref="F2:F9" si="0">D2/C2</f>
        <v>1</v>
      </c>
    </row>
    <row r="3" spans="1:6" x14ac:dyDescent="0.2">
      <c r="A3" s="5" t="s">
        <v>299</v>
      </c>
      <c r="B3" s="6" t="s">
        <v>300</v>
      </c>
      <c r="C3" s="5">
        <v>7</v>
      </c>
      <c r="D3" s="5">
        <v>5</v>
      </c>
      <c r="E3" s="5">
        <v>2</v>
      </c>
      <c r="F3" s="7">
        <f t="shared" si="0"/>
        <v>0.71428571428571397</v>
      </c>
    </row>
    <row r="4" spans="1:6" x14ac:dyDescent="0.2">
      <c r="A4" s="2" t="s">
        <v>301</v>
      </c>
      <c r="B4" s="3" t="s">
        <v>302</v>
      </c>
      <c r="C4" s="2">
        <v>6</v>
      </c>
      <c r="D4" s="2">
        <v>5</v>
      </c>
      <c r="E4" s="2">
        <v>1</v>
      </c>
      <c r="F4" s="4">
        <f t="shared" si="0"/>
        <v>0.83333333333333304</v>
      </c>
    </row>
    <row r="5" spans="1:6" x14ac:dyDescent="0.2">
      <c r="A5" s="5" t="s">
        <v>303</v>
      </c>
      <c r="B5" s="6" t="s">
        <v>304</v>
      </c>
      <c r="C5" s="5">
        <v>5</v>
      </c>
      <c r="D5" s="5">
        <v>5</v>
      </c>
      <c r="E5" s="5">
        <v>0</v>
      </c>
      <c r="F5" s="7">
        <f t="shared" si="0"/>
        <v>1</v>
      </c>
    </row>
    <row r="6" spans="1:6" x14ac:dyDescent="0.2">
      <c r="A6" s="2" t="s">
        <v>305</v>
      </c>
      <c r="B6" s="3" t="s">
        <v>306</v>
      </c>
      <c r="C6" s="2">
        <v>7</v>
      </c>
      <c r="D6" s="2">
        <v>6</v>
      </c>
      <c r="E6" s="2">
        <v>1</v>
      </c>
      <c r="F6" s="4">
        <f t="shared" si="0"/>
        <v>0.85714285714285698</v>
      </c>
    </row>
    <row r="7" spans="1:6" x14ac:dyDescent="0.2">
      <c r="A7" s="5" t="s">
        <v>307</v>
      </c>
      <c r="B7" s="6" t="s">
        <v>308</v>
      </c>
      <c r="C7" s="5">
        <v>5</v>
      </c>
      <c r="D7" s="5">
        <v>5</v>
      </c>
      <c r="E7" s="5">
        <v>0</v>
      </c>
      <c r="F7" s="7">
        <f t="shared" si="0"/>
        <v>1</v>
      </c>
    </row>
    <row r="8" spans="1:6" x14ac:dyDescent="0.2">
      <c r="A8" s="2" t="s">
        <v>309</v>
      </c>
      <c r="B8" s="3" t="s">
        <v>310</v>
      </c>
      <c r="C8" s="2">
        <v>9</v>
      </c>
      <c r="D8" s="2">
        <v>5</v>
      </c>
      <c r="E8" s="2">
        <v>4</v>
      </c>
      <c r="F8" s="4">
        <f t="shared" si="0"/>
        <v>0.55555555555555602</v>
      </c>
    </row>
    <row r="9" spans="1:6" ht="25" customHeight="1" x14ac:dyDescent="0.2">
      <c r="A9" s="28" t="s">
        <v>311</v>
      </c>
      <c r="B9" s="29"/>
      <c r="C9" s="1">
        <f>SUM(C2:C8)</f>
        <v>44</v>
      </c>
      <c r="D9" s="1">
        <f>SUM(D2:D8)</f>
        <v>36</v>
      </c>
      <c r="E9" s="1">
        <f>SUM(E2:E8)</f>
        <v>8</v>
      </c>
      <c r="F9" s="8">
        <f t="shared" si="0"/>
        <v>0.81818181818181801</v>
      </c>
    </row>
  </sheetData>
  <mergeCells count="1">
    <mergeCell ref="A9:B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Tổng hợp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Minh Nguyet</cp:lastModifiedBy>
  <dcterms:created xsi:type="dcterms:W3CDTF">2026-06-21T14:33:00Z</dcterms:created>
  <dcterms:modified xsi:type="dcterms:W3CDTF">2026-06-21T13:43:56Z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557F98A2FA2C3E41CEE7376A86F9B7A0_42</vt:lpwstr>
  </property>
  <property fmtid="{D5CDD505-2E9C-101B-9397-08002B2CF9AE}" pid="3" name="KSOProductBuildVer">
    <vt:lpwstr>1033-12.1.26015.26015</vt:lpwstr>
  </property>
  <property fmtid="{D5CDD505-2E9C-101B-9397-08002B2CF9AE}" pid="4" name="CalculationRule">
    <vt:i4>0</vt:i4>
  </property>
</Properties>
</file>